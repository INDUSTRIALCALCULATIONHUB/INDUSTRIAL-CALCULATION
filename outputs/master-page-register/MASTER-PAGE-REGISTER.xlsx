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18f6ed141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3932e6cdc84d5d"/>
    <x:sheet xmlns:r="http://schemas.openxmlformats.org/officeDocument/2006/relationships" name="Page Register" sheetId="2" r:id="R5c57bddd77fd4a2e"/>
    <x:sheet xmlns:r="http://schemas.openxmlformats.org/officeDocument/2006/relationships" name="Existing Assets" sheetId="3" r:id="Rafc98ac1217c4222"/>
    <x:sheet xmlns:r="http://schemas.openxmlformats.org/officeDocument/2006/relationships" name="Controlled Lists" sheetId="4" r:id="Re97de0a5bf124fdd"/>
    <x:sheet xmlns:r="http://schemas.openxmlformats.org/officeDocument/2006/relationships" name="Change Log" sheetId="5" r:id="R869a0158c585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83B4E"/>
      <x:name val="Carlito"/>
    </x:font>
    <x:font>
      <x:sz val="11"/>
      <x:color rgb="FF183B4E"/>
      <x:name val="Carlito"/>
    </x:font>
    <x:font>
      <x:b/>
      <x:sz val="11"/>
      <x:color rgb="FF7A4C00"/>
      <x:name val="Carlito"/>
    </x:font>
    <x:font>
      <x:b/>
      <x:sz val="11"/>
      <x:color rgb="FF0B4B66"/>
      <x:name val="Carlito"/>
    </x:font>
    <x:font>
      <x:b/>
      <x:sz val="11"/>
      <x:color rgb="FF183B4E"/>
      <x:name val="Carlito"/>
    </x:font>
    <x:font>
      <x:sz val="11"/>
      <x:color rgb="FF6A4B0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B66"/>
      </x:patternFill>
    </x:fill>
    <x:fill>
      <x:patternFill patternType="solid">
        <x:fgColor rgb="FFE5F5FB"/>
      </x:patternFill>
    </x:fill>
    <x:fill>
      <x:patternFill patternType="solid">
        <x:fgColor rgb="FF0F8399"/>
      </x:patternFill>
    </x:fill>
    <x:fill>
      <x:patternFill patternType="solid">
        <x:fgColor rgb="FFFFF5D9"/>
      </x:patternFill>
    </x:fill>
    <x:fill>
      <x:patternFill patternType="solid">
        <x:fgColor rgb="FFF4FAFC"/>
      </x:patternFill>
    </x:fill>
    <x:fill>
      <x:patternFill patternType="solid">
        <x:fgColor rgb="FFDDF6F2"/>
      </x:patternFill>
    </x:fill>
  </x:fills>
  <x:borders count="18">
    <x:border/>
    <x:border>
      <x:left style="thin">
        <x:color rgb="FFC9DCE5"/>
      </x:left>
      <x:right style="thin">
        <x:color rgb="FFC9DCE5"/>
      </x:right>
      <x:top style="thin">
        <x:color rgb="FFC9DCE5"/>
      </x:top>
      <x:bottom style="thin">
        <x:color rgb="FFC9DCE5"/>
      </x:bottom>
    </x:border>
    <x:border>
      <x:right style="thin">
        <x:color rgb="FFE4EEF2"/>
      </x:right>
      <x:bottom style="thin">
        <x:color rgb="FFE4EEF2"/>
      </x:bottom>
    </x:border>
    <x:border>
      <x:left style="thin">
        <x:color rgb="FFE4EEF2"/>
      </x:left>
      <x:right style="thin">
        <x:color rgb="FFE4EEF2"/>
      </x:right>
      <x:bottom style="thin">
        <x:color rgb="FFE4EEF2"/>
      </x:bottom>
    </x:border>
    <x:border>
      <x:left style="thin">
        <x:color rgb="FFE4EEF2"/>
      </x:left>
      <x:bottom style="thin">
        <x:color rgb="FFE4EEF2"/>
      </x:bottom>
    </x:border>
    <x:border>
      <x:right style="thin">
        <x:color rgb="FFE4EEF2"/>
      </x:right>
      <x:top style="thin">
        <x:color rgb="FFE4EEF2"/>
      </x:top>
      <x:bottom style="thin">
        <x:color rgb="FFE4EEF2"/>
      </x:bottom>
    </x:border>
    <x:border>
      <x:left style="thin">
        <x:color rgb="FFE4EEF2"/>
      </x:left>
      <x:right style="thin">
        <x:color rgb="FFE4EEF2"/>
      </x:right>
      <x:top style="thin">
        <x:color rgb="FFE4EEF2"/>
      </x:top>
      <x:bottom style="thin">
        <x:color rgb="FFE4EEF2"/>
      </x:bottom>
    </x:border>
    <x:border>
      <x:left style="thin">
        <x:color rgb="FFE4EEF2"/>
      </x:left>
      <x:top style="thin">
        <x:color rgb="FFE4EEF2"/>
      </x:top>
      <x:bottom style="thin">
        <x:color rgb="FFE4EEF2"/>
      </x:bottom>
    </x:border>
    <x:border>
      <x:right style="thin">
        <x:color rgb="FFE4EEF2"/>
      </x:right>
      <x:top style="thin">
        <x:color rgb="FFE4EEF2"/>
      </x:top>
    </x:border>
    <x:border>
      <x:left style="thin">
        <x:color rgb="FFE4EEF2"/>
      </x:left>
      <x:right style="thin">
        <x:color rgb="FFE4EEF2"/>
      </x:right>
      <x:top style="thin">
        <x:color rgb="FFE4EEF2"/>
      </x:top>
    </x:border>
    <x:border>
      <x:left style="thin">
        <x:color rgb="FFE4EEF2"/>
      </x:left>
      <x:top style="thin">
        <x:color rgb="FFE4EEF2"/>
      </x:top>
    </x:border>
    <x:border>
      <x:left style="thin">
        <x:color rgb="FFC9DCE5"/>
      </x:left>
      <x:top style="thin">
        <x:color rgb="FFC9DCE5"/>
      </x:top>
      <x:bottom style="thin">
        <x:color rgb="FFC9DCE5"/>
      </x:bottom>
    </x:border>
    <x:border>
      <x:top style="thin">
        <x:color rgb="FFC9DCE5"/>
      </x:top>
      <x:bottom style="thin">
        <x:color rgb="FFC9DCE5"/>
      </x:bottom>
    </x:border>
    <x:border>
      <x:right style="thin">
        <x:color rgb="FFC9DCE5"/>
      </x:right>
      <x:top style="thin">
        <x:color rgb="FFC9DCE5"/>
      </x:top>
      <x:bottom style="thin">
        <x:color rgb="FFC9DCE5"/>
      </x:bottom>
    </x:border>
    <x:border>
      <x:left style="thin">
        <x:color rgb="FFF0DDA7"/>
      </x:left>
      <x:right style="thin">
        <x:color rgb="FFF0DDA7"/>
      </x:right>
      <x:top style="thin">
        <x:color rgb="FFF0DDA7"/>
      </x:top>
      <x:bottom style="thin">
        <x:color rgb="FFF0DDA7"/>
      </x:bottom>
    </x:border>
    <x:border>
      <x:right style="thin">
        <x:color rgb="FFE4EEF2"/>
      </x:right>
    </x:border>
    <x:border>
      <x:left style="thin">
        <x:color rgb="FFE4EEF2"/>
      </x:left>
      <x:right style="thin">
        <x:color rgb="FFE4EEF2"/>
      </x:right>
    </x:border>
    <x:border>
      <x:left style="thin">
        <x:color rgb="FFE4EEF2"/>
      </x:left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13" xfId="0" applyNumberFormat="1" applyFont="1" applyFill="1" applyBorder="1"/>
    <x:xf numFmtId="0" fontId="3" fillId="6" borderId="11" xfId="0" applyNumberFormat="1" applyFont="1" applyFill="1" applyBorder="1" applyAlignment="1">
      <x:alignment wrapText="1"/>
    </x:xf>
    <x:xf numFmtId="0" fontId="3" fillId="6" borderId="12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0" fontId="3" fillId="6" borderId="13" xfId="0" applyNumberFormat="1" applyFont="1" applyFill="1" applyBorder="1" applyAlignment="1">
      <x:alignment vertical="center" wrapText="1"/>
    </x:xf>
    <x:xf numFmtId="200" fontId="3" fillId="6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1" xfId="0" applyNumberFormat="1" applyFont="1" applyFill="1" applyBorder="1" applyAlignment="1">
      <x:alignment horizontal="center"/>
    </x:xf>
    <x:xf numFmtId="0" fontId="5" fillId="7" borderId="12" xfId="0" applyNumberFormat="1" applyFont="1" applyFill="1" applyBorder="1" applyAlignment="1">
      <x:alignment horizontal="center"/>
    </x:xf>
    <x:xf numFmtId="0" fontId="5" fillId="7" borderId="13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 applyAlignment="1">
      <x:alignment horizontal="center" vertical="center"/>
    </x:xf>
    <x:xf numFmtId="0" fontId="5" fillId="7" borderId="12" xfId="0" applyNumberFormat="1" applyFont="1" applyFill="1" applyBorder="1" applyAlignment="1">
      <x:alignment horizontal="center" vertical="center"/>
    </x:xf>
    <x:xf numFmtId="0" fontId="5" fillId="7" borderId="1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/>
    <x:xf numFmtId="0" fontId="3" fillId="3" borderId="7" xfId="0" applyNumberFormat="1" applyFont="1" applyFill="1" applyBorder="1"/>
    <x:xf numFmtId="0" fontId="3" fillId="3" borderId="10" xfId="0" applyNumberFormat="1" applyFont="1" applyFill="1" applyBorder="1"/>
    <x:xf numFmtId="0" fontId="5" fillId="3" borderId="4" xfId="0" applyNumberFormat="1" applyFont="1" applyFill="1" applyBorder="1"/>
    <x:xf numFmtId="0" fontId="5" fillId="3" borderId="7" xfId="0" applyNumberFormat="1" applyFont="1" applyFill="1" applyBorder="1"/>
    <x:xf numFmtId="0" fontId="5" fillId="3" borderId="10" xfId="0" applyNumberFormat="1" applyFont="1" applyFill="1" applyBorder="1"/>
    <x:xf numFmtId="0" fontId="5" fillId="3" borderId="4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4" xfId="0" applyNumberFormat="1" applyFont="1" applyFill="1" applyBorder="1"/>
    <x:xf numFmtId="0" fontId="7" fillId="5" borderId="14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20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20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0B4B66"/>
      </x:font>
      <x:fill>
        <x:patternFill patternType="solid">
          <x:bgColor rgb="FFF4FAFC"/>
        </x:patternFill>
      </x:fill>
    </x:dxf>
    <x:dxf>
      <x:font>
        <x:color rgb="FF7A4C00"/>
      </x:font>
      <x:fill>
        <x:patternFill patternType="solid">
          <x:bgColor rgb="FFFFF5D9"/>
        </x:patternFill>
      </x:fill>
    </x:dxf>
    <x:dxf>
      <x:font>
        <x:color rgb="FFB84C4C"/>
      </x:font>
      <x:fill>
        <x:patternFill patternType="solid">
          <x:bgColor rgb="FFFCECEC"/>
        </x:patternFill>
      </x:fill>
    </x:dxf>
    <x:dxf>
      <x:font>
        <x:color rgb="FF147A67"/>
      </x:font>
      <x:fill>
        <x:patternFill patternType="solid">
          <x:bgColor rgb="FFE4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c47348a5f439b" /><Relationship Type="http://schemas.openxmlformats.org/officeDocument/2006/relationships/theme" Target="/xl/theme/theme1.xml" Id="R6ef8499fc65245ba" /><Relationship Type="http://schemas.openxmlformats.org/officeDocument/2006/relationships/sharedStrings" Target="/xl/sharedStrings.xml" Id="Rc4041def0abb4869" /><Relationship Type="http://schemas.openxmlformats.org/officeDocument/2006/relationships/worksheet" Target="/xl/worksheets/sheet1.xml" Id="R6f3932e6cdc84d5d" /><Relationship Type="http://schemas.openxmlformats.org/officeDocument/2006/relationships/worksheet" Target="/xl/worksheets/sheet2.xml" Id="R5c57bddd77fd4a2e" /><Relationship Type="http://schemas.openxmlformats.org/officeDocument/2006/relationships/worksheet" Target="/xl/worksheets/sheet3.xml" Id="Rafc98ac1217c4222" /><Relationship Type="http://schemas.openxmlformats.org/officeDocument/2006/relationships/worksheet" Target="/xl/worksheets/sheet4.xml" Id="Re97de0a5bf124fdd" /><Relationship Type="http://schemas.openxmlformats.org/officeDocument/2006/relationships/worksheet" Target="/xl/worksheets/sheet5.xml" Id="R869a0158c5854dfb" /></Relationships>
</file>

<file path=xl/tables/table1.xml><?xml version="1.0" encoding="utf-8"?>
<x:table xmlns:x="http://schemas.openxmlformats.org/spreadsheetml/2006/main" id="1" name="MasterPageRegister" displayName="MasterPageRegister" ref="A5:S333" headerRowCount="1" totalsRowCount="0" totalsRowShown="0">
  <x:tableColumns count="19">
    <x:tableColumn id="1" name="Content ID"/>
    <x:tableColumn id="2" name="Record Kind"/>
    <x:tableColumn id="3" name="Primary Domain"/>
    <x:tableColumn id="4" name="Level 2 Area"/>
    <x:tableColumn id="5" name="Level 3 System"/>
    <x:tableColumn id="6" name="Level 4 Topic"/>
    <x:tableColumn id="7" name="Page / Record Title"/>
    <x:tableColumn id="8" name="Frozen Hierarchy Path"/>
    <x:tableColumn id="9" name="Current Asset"/>
    <x:tableColumn id="10" name="Content State"/>
    <x:tableColumn id="11" name="Page Type"/>
    <x:tableColumn id="12" name="Proposed Canonical Route"/>
    <x:tableColumn id="13" name="App Content Key"/>
    <x:tableColumn id="14" name="Visual Requirement"/>
    <x:tableColumn id="15" name="Related Links"/>
    <x:tableColumn id="16" name="Source Book Set"/>
    <x:tableColumn id="17" name="Technical Review"/>
    <x:tableColumn id="18" name="Publication Gate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AssetsAudit" displayName="ExistingAssetsAudit" ref="A4:H43" headerRowCount="1" totalsRowCount="0" totalsRowShown="0">
  <x:tableColumns count="8">
    <x:tableColumn id="1" name="Current File"/>
    <x:tableColumn id="2" name="Current Asset Class"/>
    <x:tableColumn id="3" name="Register Content ID"/>
    <x:tableColumn id="4" name="Register Title"/>
    <x:tableColumn id="5" name="Register State"/>
    <x:tableColumn id="6" name="Frozen Hierarchy Alignment"/>
    <x:tableColumn id="7" name="Review Action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erChangeLog" displayName="RegisterChangeLog" ref="A4:H5" headerRowCount="1" totalsRowCount="0" totalsRowShown="0">
  <x:tableColumns count="8">
    <x:tableColumn id="1" name="Date"/>
    <x:tableColumn id="2" name="Version"/>
    <x:tableColumn id="3" name="Change Type"/>
    <x:tableColumn id="4" name="Decision / Change"/>
    <x:tableColumn id="5" name="Affected Scope"/>
    <x:tableColumn id="6" name="Authority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9f0840c1ad4d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42321588e94a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b83cb2f853148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30" hidden="0" customWidth="1"/>
    <x:col min="5" max="5" width="20" hidden="0" customWidth="1"/>
    <x:col min="6" max="6" width="28" hidden="0" customWidth="1"/>
    <x:col min="7" max="7" width="23" hidden="0" customWidth="1"/>
    <x:col min="8" max="8" width="22" hidden="0" customWidth="1"/>
  </x:cols>
  <x:sheetData>
    <x:row r="1" ht="30" customHeight="1">
      <x:c r="A1" s="4" t="str">
        <x:v>Master Page Register — Control Dashboard</x:v>
      </x:c>
    </x:row>
    <x:row r="2" ht="34" customHeight="1">
      <x:c r="A2" s="8" t="str">
        <x:v>Draft operational view. Counts are formula-driven from the Page Register and are not a replacement for the frozen sitemap.</x:v>
      </x:c>
    </x:row>
    <x:row r="4" ht="26" customHeight="1">
      <x:c r="A4" s="63" t="str">
        <x:v>Register version</x:v>
      </x:c>
      <x:c r="B4" s="64" t="str">
        <x:v>Draft 1</x:v>
      </x:c>
      <x:c r="C4" s="64" t="str">
        <x:v>Source hierarchy</x:v>
      </x:c>
      <x:c r="D4" s="64" t="str">
        <x:v>SITE-HIERARCHY.md (frozen)</x:v>
      </x:c>
      <x:c r="E4" s="64" t="str">
        <x:v>Page-format standard</x:v>
      </x:c>
      <x:c r="F4" s="64" t="str">
        <x:v>PAGE-FORMAT-STANDARD.md (frozen)</x:v>
      </x:c>
      <x:c r="G4" s="64" t="str">
        <x:v>Prepared</x:v>
      </x:c>
      <x:c r="H4" s="66" t="n">
        <x:v>46257.5</x:v>
      </x:c>
    </x:row>
    <x:row r="6" ht="34" customHeight="1">
      <x:c r="A6" s="14" t="str">
        <x:v>Controlled records</x:v>
      </x:c>
      <x:c r="B6" s="14" t="str">
        <x:v>Existing / review</x:v>
      </x:c>
      <x:c r="C6" s="14" t="str">
        <x:v>Planned</x:v>
      </x:c>
      <x:c r="D6" s="14" t="str">
        <x:v>Knowledge / data</x:v>
      </x:c>
      <x:c r="E6" s="14" t="str">
        <x:v>Utilities</x:v>
      </x:c>
      <x:c r="F6" s="14" t="str">
        <x:v>Site support</x:v>
      </x:c>
      <x:c r="G6" s="14" t="str">
        <x:v>Technical review complete</x:v>
      </x:c>
      <x:c r="H6" s="14" t="str">
        <x:v>Publication ready</x:v>
      </x:c>
    </x:row>
    <x:row r="7" ht="34" customHeight="1">
      <x:c r="A7" s="75" t="n">
        <x:f>COUNTA('Page Register'!$A$6:$A$333)</x:f>
        <x:v>328</x:v>
      </x:c>
      <x:c r="B7" s="76" t="n">
        <x:f>COUNTIF('Page Register'!$J$6:$J$333,"Existing — review/restructure")</x:f>
        <x:v>39</x:v>
      </x:c>
      <x:c r="C7" s="76" t="n">
        <x:f>COUNTIF('Page Register'!$J$6:$J$333,"Planned — not started")</x:f>
        <x:v>289</x:v>
      </x:c>
      <x:c r="D7" s="76" t="n">
        <x:f>COUNTIF('Page Register'!$B$6:$B$333,"Knowledge/data page")</x:f>
        <x:v>295</x:v>
      </x:c>
      <x:c r="E7" s="76" t="n">
        <x:f>COUNTIF('Page Register'!$B$6:$B$333,"Existing utility")</x:f>
        <x:v>18</x:v>
      </x:c>
      <x:c r="F7" s="76" t="n">
        <x:f>COUNTIF('Page Register'!$C$6:$C$333,"Site Support")</x:f>
        <x:v>5</x:v>
      </x:c>
      <x:c r="G7" s="76" t="n">
        <x:f>COUNTIF('Page Register'!$Q$6:$Q$333,"*complete*")</x:f>
        <x:v>0</x:v>
      </x:c>
      <x:c r="H7" s="77" t="n">
        <x:f>COUNTIF('Page Register'!$R$6:$R$333,"Approved for publication")</x:f>
        <x:v>0</x:v>
      </x:c>
    </x:row>
    <x:row r="10" ht="34" customHeight="1">
      <x:c r="A10" s="14" t="str">
        <x:v>Primary Domain</x:v>
      </x:c>
      <x:c r="B10" s="14" t="str">
        <x:v>Controlled Record Count</x:v>
      </x:c>
      <x:c r="D10" s="14" t="str">
        <x:v>Governance controls</x:v>
      </x:c>
      <x:c r="E10" s="14"/>
      <x:c r="F10" s="14"/>
      <x:c r="G10" s="14"/>
      <x:c r="H10" s="14"/>
    </x:row>
    <x:row r="11" ht="35" customHeight="1">
      <x:c r="A11" s="40" t="str">
        <x:v>Engineering</x:v>
      </x:c>
      <x:c r="B11" s="84" t="n">
        <x:f>COUNTIF('Page Register'!$C$6:$C$333,A11)</x:f>
        <x:v>103</x:v>
      </x:c>
      <x:c r="D11" s="89" t="str">
        <x:v>1. Do not modify the frozen sitemap or hierarchy without prior owner approval.</x:v>
      </x:c>
      <x:c r="E11" s="89"/>
      <x:c r="F11" s="89"/>
      <x:c r="G11" s="89"/>
      <x:c r="H11" s="89"/>
    </x:row>
    <x:row r="12" ht="35" customHeight="1">
      <x:c r="A12" s="43" t="str">
        <x:v>Industrial Equipment</x:v>
      </x:c>
      <x:c r="B12" s="85" t="n">
        <x:f>COUNTIF('Page Register'!$C$6:$C$333,A12)</x:f>
        <x:v>98</x:v>
      </x:c>
      <x:c r="D12" s="89" t="str">
        <x:v>2. Proposed canonical routes must remain pending until the dedicated URL standard is approved.</x:v>
      </x:c>
      <x:c r="E12" s="89"/>
      <x:c r="F12" s="89"/>
      <x:c r="G12" s="89"/>
      <x:c r="H12" s="89"/>
    </x:row>
    <x:row r="13" ht="35" customHeight="1">
      <x:c r="A13" s="43" t="str">
        <x:v>Industrial Processes</x:v>
      </x:c>
      <x:c r="B13" s="85" t="n">
        <x:f>COUNTIF('Page Register'!$C$6:$C$333,A13)</x:f>
        <x:v>56</x:v>
      </x:c>
      <x:c r="D13" s="89" t="str">
        <x:v>3. Knowledge/data pages require fundamental textbook references, technical review, and required visuals before publication.</x:v>
      </x:c>
      <x:c r="E13" s="89"/>
      <x:c r="F13" s="89"/>
      <x:c r="G13" s="89"/>
      <x:c r="H13" s="89"/>
    </x:row>
    <x:row r="14" ht="35" customHeight="1">
      <x:c r="A14" s="43" t="str">
        <x:v>Engineering Reference Data</x:v>
      </x:c>
      <x:c r="B14" s="85" t="n">
        <x:f>COUNTIF('Page Register'!$C$6:$C$333,A14)</x:f>
        <x:v>47</x:v>
      </x:c>
      <x:c r="D14" s="89" t="str">
        <x:v>4. The existing calculator/converter inventory is recorded for review only; it does not authorize new calculator scope.</x:v>
      </x:c>
      <x:c r="E14" s="89"/>
      <x:c r="F14" s="89"/>
      <x:c r="G14" s="89"/>
      <x:c r="H14" s="89"/>
    </x:row>
    <x:row r="15" ht="35" customHeight="1">
      <x:c r="A15" s="43" t="str">
        <x:v>Existing Utilities</x:v>
      </x:c>
      <x:c r="B15" s="85" t="n">
        <x:f>COUNTIF('Page Register'!$C$6:$C$333,A15)</x:f>
        <x:v>19</x:v>
      </x:c>
      <x:c r="D15" s="89" t="str">
        <x:v>5. The register is a draft control artifact and becomes frozen only after owner approval.</x:v>
      </x:c>
      <x:c r="E15" s="89"/>
      <x:c r="F15" s="89"/>
      <x:c r="G15" s="89"/>
      <x:c r="H15" s="89"/>
    </x:row>
    <x:row r="16">
      <x:c r="A16" s="46" t="str">
        <x:v>Site Support</x:v>
      </x:c>
      <x:c r="B16" s="85" t="n">
        <x:f>COUNTIF('Page Register'!$C$6:$C$333,A16)</x:f>
        <x:v>5</x:v>
      </x:c>
    </x:row>
  </x:sheetData>
  <x:mergeCells>
    <x:mergeCell ref="A1:H1"/>
    <x:mergeCell ref="A2:H2"/>
    <x:mergeCell ref="D10:H10"/>
    <x:mergeCell ref="D11:H11"/>
    <x:mergeCell ref="D12:H12"/>
    <x:mergeCell ref="D13:H13"/>
    <x:mergeCell ref="D14:H14"/>
    <x:mergeCell ref="D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26" hidden="0" customWidth="1"/>
    <x:col min="4" max="4" width="34" hidden="0" customWidth="1"/>
    <x:col min="5" max="5" width="29" hidden="0" customWidth="1"/>
    <x:col min="6" max="6" width="35" hidden="0" customWidth="1"/>
    <x:col min="7" max="7" width="43" hidden="0" customWidth="1"/>
    <x:col min="8" max="8" width="56" hidden="0" customWidth="1"/>
    <x:col min="9" max="9" width="28" hidden="0" customWidth="1"/>
    <x:col min="10" max="10" width="25" hidden="0" customWidth="1"/>
    <x:col min="11" max="11" width="28" hidden="0" customWidth="1"/>
    <x:col min="12" max="12" width="34" hidden="0" customWidth="1"/>
    <x:col min="13" max="13" width="31" hidden="0" customWidth="1"/>
    <x:col min="14" max="14" width="42" hidden="0" customWidth="1"/>
    <x:col min="15" max="15" width="28" hidden="0" customWidth="1"/>
    <x:col min="16" max="16" width="46" hidden="0" customWidth="1"/>
    <x:col min="17" max="17" width="25" hidden="0" customWidth="1"/>
    <x:col min="18" max="18" width="28" hidden="0" customWidth="1"/>
    <x:col min="19" max="19" width="58" hidden="0" customWidth="1"/>
  </x:cols>
  <x:sheetData>
    <x:row r="1" ht="30" customHeight="1">
      <x:c r="A1" s="4" t="str">
        <x:v>Master Page Register — Draft 1</x:v>
      </x:c>
    </x:row>
    <x:row r="2" ht="34" customHeight="1">
      <x:c r="A2" s="8" t="str">
        <x:v>Controlled implementation inventory derived from the frozen hierarchy. It does not approve a sitemap, route, page-name or scope change.</x:v>
      </x:c>
    </x:row>
    <x:row r="4" ht="28" customHeight="1">
      <x:c r="A4" s="38" t="str">
        <x:v>Register status: DRAFT — owner approval required before freezing. Current asset routes are recorded as observed; all planned canonical routes remain pending the separate URL standard.</x:v>
      </x:c>
      <x:c r="B4" t="str">
        <x:v>Register status: DRAFT — owner approval required before freezing. Current asset routes are recorded as observed; all planned canonical routes remain pending the separate URL standard.</x:v>
      </x:c>
      <x:c r="C4" t="str">
        <x:v>Register status: DRAFT — owner approval required before freezing. Current asset routes are recorded as observed; all planned canonical routes remain pending the separate URL standard.</x:v>
      </x:c>
      <x:c r="D4" t="str">
        <x:v>Register status: DRAFT — owner approval required before freezing. Current asset routes are recorded as observed; all planned canonical routes remain pending the separate URL standard.</x:v>
      </x:c>
      <x:c r="E4" t="str">
        <x:v>Register status: DRAFT — owner approval required before freezing. Current asset routes are recorded as observed; all planned canonical routes remain pending the separate URL standard.</x:v>
      </x:c>
      <x:c r="F4" t="str">
        <x:v>Register status: DRAFT — owner approval required before freezing. Current asset routes are recorded as observed; all planned canonical routes remain pending the separate URL standard.</x:v>
      </x:c>
      <x:c r="G4" t="str">
        <x:v>Register status: DRAFT — owner approval required before freezing. Current asset routes are recorded as observed; all planned canonical routes remain pending the separate URL standard.</x:v>
      </x:c>
      <x:c r="H4" t="str">
        <x:v>Register status: DRAFT — owner approval required before freezing. Current asset routes are recorded as observed; all planned canonical routes remain pending the separate URL standard.</x:v>
      </x:c>
      <x:c r="I4" t="str">
        <x:v>Register status: DRAFT — owner approval required before freezing. Current asset routes are recorded as observed; all planned canonical routes remain pending the separate URL standard.</x:v>
      </x:c>
      <x:c r="J4" t="str">
        <x:v>Register status: DRAFT — owner approval required before freezing. Current asset routes are recorded as observed; all planned canonical routes remain pending the separate URL standard.</x:v>
      </x:c>
      <x:c r="K4" t="str">
        <x:v>Register status: DRAFT — owner approval required before freezing. Current asset routes are recorded as observed; all planned canonical routes remain pending the separate URL standard.</x:v>
      </x:c>
      <x:c r="L4" t="str">
        <x:v>Register status: DRAFT — owner approval required before freezing. Current asset routes are recorded as observed; all planned canonical routes remain pending the separate URL standard.</x:v>
      </x:c>
      <x:c r="M4" t="str">
        <x:v>Register status: DRAFT — owner approval required before freezing. Current asset routes are recorded as observed; all planned canonical routes remain pending the separate URL standard.</x:v>
      </x:c>
      <x:c r="N4" t="str">
        <x:v>Register status: DRAFT — owner approval required before freezing. Current asset routes are recorded as observed; all planned canonical routes remain pending the separate URL standard.</x:v>
      </x:c>
      <x:c r="O4" t="str">
        <x:v>Register status: DRAFT — owner approval required before freezing. Current asset routes are recorded as observed; all planned canonical routes remain pending the separate URL standard.</x:v>
      </x:c>
      <x:c r="P4" t="str">
        <x:v>Register status: DRAFT — owner approval required before freezing. Current asset routes are recorded as observed; all planned canonical routes remain pending the separate URL standard.</x:v>
      </x:c>
      <x:c r="Q4" t="str">
        <x:v>Register status: DRAFT — owner approval required before freezing. Current asset routes are recorded as observed; all planned canonical routes remain pending the separate URL standard.</x:v>
      </x:c>
      <x:c r="R4" t="str">
        <x:v>Register status: DRAFT — owner approval required before freezing. Current asset routes are recorded as observed; all planned canonical routes remain pending the separate URL standard.</x:v>
      </x:c>
      <x:c r="S4" t="str">
        <x:v>Register status: DRAFT — owner approval required before freezing. Current asset routes are recorded as observed; all planned canonical routes remain pending the separate URL standard.</x:v>
      </x:c>
    </x:row>
    <x:row r="5" ht="34" customHeight="1">
      <x:c r="A5" s="14" t="str">
        <x:v>Content ID</x:v>
      </x:c>
      <x:c r="B5" s="14" t="str">
        <x:v>Record Kind</x:v>
      </x:c>
      <x:c r="C5" s="14" t="str">
        <x:v>Primary Domain</x:v>
      </x:c>
      <x:c r="D5" s="14" t="str">
        <x:v>Level 2 Area</x:v>
      </x:c>
      <x:c r="E5" s="14" t="str">
        <x:v>Level 3 System</x:v>
      </x:c>
      <x:c r="F5" s="14" t="str">
        <x:v>Level 4 Topic</x:v>
      </x:c>
      <x:c r="G5" s="14" t="str">
        <x:v>Page / Record Title</x:v>
      </x:c>
      <x:c r="H5" s="14" t="str">
        <x:v>Frozen Hierarchy Path</x:v>
      </x:c>
      <x:c r="I5" s="14" t="str">
        <x:v>Current Asset</x:v>
      </x:c>
      <x:c r="J5" s="14" t="str">
        <x:v>Content State</x:v>
      </x:c>
      <x:c r="K5" s="14" t="str">
        <x:v>Page Type</x:v>
      </x:c>
      <x:c r="L5" s="14" t="str">
        <x:v>Proposed Canonical Route</x:v>
      </x:c>
      <x:c r="M5" s="14" t="str">
        <x:v>App Content Key</x:v>
      </x:c>
      <x:c r="N5" s="14" t="str">
        <x:v>Visual Requirement</x:v>
      </x:c>
      <x:c r="O5" s="14" t="str">
        <x:v>Related Links</x:v>
      </x:c>
      <x:c r="P5" s="14" t="str">
        <x:v>Source Book Set</x:v>
      </x:c>
      <x:c r="Q5" s="14" t="str">
        <x:v>Technical Review</x:v>
      </x:c>
      <x:c r="R5" s="14" t="str">
        <x:v>Publication Gate</x:v>
      </x:c>
      <x:c r="S5" s="14" t="str">
        <x:v>Notes</x:v>
      </x:c>
    </x:row>
    <x:row r="6" ht="42" customHeight="1">
      <x:c r="A6" s="49" t="str">
        <x:v>ICH-SUP-001</x:v>
      </x:c>
      <x:c r="B6" s="27" t="str">
        <x:v>Landing page</x:v>
      </x:c>
      <x:c r="C6" s="52" t="str">
        <x:v>Site Support</x:v>
      </x:c>
      <x:c r="D6" s="27" t="str">
        <x:v>—</x:v>
      </x:c>
      <x:c r="E6" s="27" t="str">
        <x:v>—</x:v>
      </x:c>
      <x:c r="F6" s="27" t="str">
        <x:v>—</x:v>
      </x:c>
      <x:c r="G6" s="27" t="str">
        <x:v>Industrial Calculation Hub Home</x:v>
      </x:c>
      <x:c r="H6" s="27" t="str">
        <x:v>Home</x:v>
      </x:c>
      <x:c r="I6" s="27" t="str">
        <x:v>index.html</x:v>
      </x:c>
      <x:c r="J6" s="27" t="str">
        <x:v>Existing — review/restructure</x:v>
      </x:c>
      <x:c r="K6" s="27" t="str">
        <x:v>Utility or support page</x:v>
      </x:c>
      <x:c r="L6" s="27" t="str">
        <x:v>/ (existing)</x:v>
      </x:c>
      <x:c r="M6" s="27" t="str">
        <x:v>SUP.industrial_calculation_hub_home</x:v>
      </x:c>
      <x:c r="N6" s="27" t="str">
        <x:v>Review required</x:v>
      </x:c>
      <x:c r="O6" s="27" t="str">
        <x:v>Not applicable</x:v>
      </x:c>
      <x:c r="P6" s="27" t="str">
        <x:v>Not applicable</x:v>
      </x:c>
      <x:c r="Q6" s="27" t="str">
        <x:v>Audit existing page</x:v>
      </x:c>
      <x:c r="R6" s="27" t="str">
        <x:v>Existing — review/restructure</x:v>
      </x:c>
      <x:c r="S6" s="28" t="str">
        <x:v>Production design remains unchanged; the brighter prototype is under owner review.</x:v>
      </x:c>
    </x:row>
    <x:row r="7" ht="42" customHeight="1">
      <x:c r="A7" s="50" t="str">
        <x:v>ICH-ENG-001</x:v>
      </x:c>
      <x:c r="B7" s="30" t="str">
        <x:v>Domain landing page</x:v>
      </x:c>
      <x:c r="C7" s="53" t="str">
        <x:v>Engineering</x:v>
      </x:c>
      <x:c r="D7" s="30" t="str">
        <x:v>—</x:v>
      </x:c>
      <x:c r="E7" s="30" t="str">
        <x:v>—</x:v>
      </x:c>
      <x:c r="F7" s="30" t="str">
        <x:v>—</x:v>
      </x:c>
      <x:c r="G7" s="30" t="str">
        <x:v>Engineering — Domain Overview</x:v>
      </x:c>
      <x:c r="H7" s="30" t="str">
        <x:v>Engineering</x:v>
      </x:c>
      <x:c r="I7" s="30" t="str">
        <x:v>—</x:v>
      </x:c>
      <x:c r="J7" s="30" t="str">
        <x:v>Planned — not started</x:v>
      </x:c>
      <x:c r="K7" s="30" t="str">
        <x:v>Domain landing page</x:v>
      </x:c>
      <x:c r="L7" s="30" t="str">
        <x:v>Pending URL standard</x:v>
      </x:c>
      <x:c r="M7" s="30" t="str">
        <x:v>ENG.engineering_domain_overview</x:v>
      </x:c>
      <x:c r="N7" s="30" t="str">
        <x:v>Review required</x:v>
      </x:c>
      <x:c r="O7" s="30" t="str">
        <x:v>Per frozen page-format standard</x:v>
      </x:c>
      <x:c r="P7" s="30" t="str">
        <x:v>Fundamental textbooks only — assign before drafting</x:v>
      </x:c>
      <x:c r="Q7" s="30" t="str">
        <x:v>Not started</x:v>
      </x:c>
      <x:c r="R7" s="30" t="str">
        <x:v>Not published</x:v>
      </x:c>
      <x:c r="S7" s="31" t="str">
        <x:v>Initial domain landing page; content is governed by the frozen hierarchy.</x:v>
      </x:c>
    </x:row>
    <x:row r="8" ht="42" customHeight="1">
      <x:c r="A8" s="50" t="str">
        <x:v>ICH-EQP-001</x:v>
      </x:c>
      <x:c r="B8" s="30" t="str">
        <x:v>Domain landing page</x:v>
      </x:c>
      <x:c r="C8" s="53" t="str">
        <x:v>Industrial Equipment</x:v>
      </x:c>
      <x:c r="D8" s="30" t="str">
        <x:v>—</x:v>
      </x:c>
      <x:c r="E8" s="30" t="str">
        <x:v>—</x:v>
      </x:c>
      <x:c r="F8" s="30" t="str">
        <x:v>—</x:v>
      </x:c>
      <x:c r="G8" s="30" t="str">
        <x:v>Industrial Equipment — Domain Overview</x:v>
      </x:c>
      <x:c r="H8" s="30" t="str">
        <x:v>Industrial Equipment</x:v>
      </x:c>
      <x:c r="I8" s="30" t="str">
        <x:v>—</x:v>
      </x:c>
      <x:c r="J8" s="30" t="str">
        <x:v>Planned — not started</x:v>
      </x:c>
      <x:c r="K8" s="30" t="str">
        <x:v>Domain landing page</x:v>
      </x:c>
      <x:c r="L8" s="30" t="str">
        <x:v>Pending URL standard</x:v>
      </x:c>
      <x:c r="M8" s="30" t="str">
        <x:v>EQP.industrial_equipment_domain_overview</x:v>
      </x:c>
      <x:c r="N8" s="30" t="str">
        <x:v>Review required</x:v>
      </x:c>
      <x:c r="O8" s="30" t="str">
        <x:v>Per frozen page-format standard</x:v>
      </x:c>
      <x:c r="P8" s="30" t="str">
        <x:v>Fundamental textbooks only — assign before drafting</x:v>
      </x:c>
      <x:c r="Q8" s="30" t="str">
        <x:v>Not started</x:v>
      </x:c>
      <x:c r="R8" s="30" t="str">
        <x:v>Not published</x:v>
      </x:c>
      <x:c r="S8" s="31" t="str">
        <x:v>Initial domain landing page; content is governed by the frozen hierarchy.</x:v>
      </x:c>
    </x:row>
    <x:row r="9" ht="42" customHeight="1">
      <x:c r="A9" s="50" t="str">
        <x:v>ICH-PRC-001</x:v>
      </x:c>
      <x:c r="B9" s="30" t="str">
        <x:v>Domain landing page</x:v>
      </x:c>
      <x:c r="C9" s="53" t="str">
        <x:v>Industrial Processes</x:v>
      </x:c>
      <x:c r="D9" s="30" t="str">
        <x:v>—</x:v>
      </x:c>
      <x:c r="E9" s="30" t="str">
        <x:v>—</x:v>
      </x:c>
      <x:c r="F9" s="30" t="str">
        <x:v>—</x:v>
      </x:c>
      <x:c r="G9" s="30" t="str">
        <x:v>Industrial Processes — Domain Overview</x:v>
      </x:c>
      <x:c r="H9" s="30" t="str">
        <x:v>Industrial Processes</x:v>
      </x:c>
      <x:c r="I9" s="30" t="str">
        <x:v>—</x:v>
      </x:c>
      <x:c r="J9" s="30" t="str">
        <x:v>Planned — not started</x:v>
      </x:c>
      <x:c r="K9" s="30" t="str">
        <x:v>Domain landing page</x:v>
      </x:c>
      <x:c r="L9" s="30" t="str">
        <x:v>Pending URL standard</x:v>
      </x:c>
      <x:c r="M9" s="30" t="str">
        <x:v>PRC.industrial_processes_domain_overview</x:v>
      </x:c>
      <x:c r="N9" s="30" t="str">
        <x:v>Review required</x:v>
      </x:c>
      <x:c r="O9" s="30" t="str">
        <x:v>Per frozen page-format standard</x:v>
      </x:c>
      <x:c r="P9" s="30" t="str">
        <x:v>Fundamental textbooks only — assign before drafting</x:v>
      </x:c>
      <x:c r="Q9" s="30" t="str">
        <x:v>Not started</x:v>
      </x:c>
      <x:c r="R9" s="30" t="str">
        <x:v>Not published</x:v>
      </x:c>
      <x:c r="S9" s="31" t="str">
        <x:v>Initial domain landing page; content is governed by the frozen hierarchy.</x:v>
      </x:c>
    </x:row>
    <x:row r="10" ht="42" customHeight="1">
      <x:c r="A10" s="50" t="str">
        <x:v>ICH-REF-001</x:v>
      </x:c>
      <x:c r="B10" s="30" t="str">
        <x:v>Domain landing page</x:v>
      </x:c>
      <x:c r="C10" s="53" t="str">
        <x:v>Engineering Reference Data</x:v>
      </x:c>
      <x:c r="D10" s="30" t="str">
        <x:v>—</x:v>
      </x:c>
      <x:c r="E10" s="30" t="str">
        <x:v>—</x:v>
      </x:c>
      <x:c r="F10" s="30" t="str">
        <x:v>—</x:v>
      </x:c>
      <x:c r="G10" s="30" t="str">
        <x:v>Engineering Reference Data — Domain Overview</x:v>
      </x:c>
      <x:c r="H10" s="30" t="str">
        <x:v>Engineering Reference Data</x:v>
      </x:c>
      <x:c r="I10" s="30" t="str">
        <x:v>—</x:v>
      </x:c>
      <x:c r="J10" s="30" t="str">
        <x:v>Planned — not started</x:v>
      </x:c>
      <x:c r="K10" s="30" t="str">
        <x:v>Domain landing page</x:v>
      </x:c>
      <x:c r="L10" s="30" t="str">
        <x:v>Pending URL standard</x:v>
      </x:c>
      <x:c r="M10" s="30" t="str">
        <x:v>REF.engineering_reference_data_domain_overview</x:v>
      </x:c>
      <x:c r="N10" s="30" t="str">
        <x:v>Review required</x:v>
      </x:c>
      <x:c r="O10" s="30" t="str">
        <x:v>Per frozen page-format standard</x:v>
      </x:c>
      <x:c r="P10" s="30" t="str">
        <x:v>Fundamental textbooks only — assign before drafting</x:v>
      </x:c>
      <x:c r="Q10" s="30" t="str">
        <x:v>Not started</x:v>
      </x:c>
      <x:c r="R10" s="30" t="str">
        <x:v>Not published</x:v>
      </x:c>
      <x:c r="S10" s="31" t="str">
        <x:v>Initial domain landing page; content is governed by the frozen hierarchy.</x:v>
      </x:c>
    </x:row>
    <x:row r="11" ht="42" customHeight="1">
      <x:c r="A11" s="50" t="str">
        <x:v>ICH-ENG-002</x:v>
      </x:c>
      <x:c r="B11" s="30" t="str">
        <x:v>Knowledge/data page</x:v>
      </x:c>
      <x:c r="C11" s="53" t="str">
        <x:v>Engineering</x:v>
      </x:c>
      <x:c r="D11" s="30" t="str">
        <x:v>Fluid Mechanics, Piping, Pumps, Fans and Ducts</x:v>
      </x:c>
      <x:c r="E11" s="30" t="str">
        <x:v>Fluid Properties</x:v>
      </x:c>
      <x:c r="F11" s="30" t="str">
        <x:v>Density and Specific Gravity › Air Properties</x:v>
      </x:c>
      <x:c r="G11" s="30" t="str">
        <x:v>Air Density: Formula, Factors and Industrial Use</x:v>
      </x:c>
      <x:c r="H11" s="30" t="str">
        <x:v>Engineering &gt; Fluid Mechanics, Piping, Pumps, Fans and Ducts &gt; Fluid Properties &gt; Density and Specific Gravity &gt; Air Properties &gt; Air Density: Formula, Factors and Industrial Use</x:v>
      </x:c>
      <x:c r="I11" s="30" t="str">
        <x:v>air-density-explained.html</x:v>
      </x:c>
      <x:c r="J11" s="30" t="str">
        <x:v>Existing — review/restructure</x:v>
      </x:c>
      <x:c r="K11" s="30" t="str">
        <x:v>Engineering knowledge page</x:v>
      </x:c>
      <x:c r="L11" s="30" t="str">
        <x:v>Pending URL standard</x:v>
      </x:c>
      <x:c r="M11" s="30" t="str">
        <x:v>ENG.air_density_formula_factors_and_industrial_use</x:v>
      </x:c>
      <x:c r="N11" s="30" t="str">
        <x:v>Required: principle schematic or formula diagram</x:v>
      </x:c>
      <x:c r="O11" s="30" t="str">
        <x:v>Per frozen page-format standard</x:v>
      </x:c>
      <x:c r="P11" s="30" t="str">
        <x:v>Fundamental textbooks only — assign before drafting</x:v>
      </x:c>
      <x:c r="Q11" s="30" t="str">
        <x:v>Audit existing page</x:v>
      </x:c>
      <x:c r="R11" s="30" t="str">
        <x:v>Existing — review/restructure</x:v>
      </x:c>
      <x:c r="S11" s="31" t="str">
        <x:v>Existing page requires format, links, references and visual audit.</x:v>
      </x:c>
    </x:row>
    <x:row r="12" ht="42" customHeight="1">
      <x:c r="A12" s="50" t="str">
        <x:v>ICH-ENG-003</x:v>
      </x:c>
      <x:c r="B12" s="30" t="str">
        <x:v>Knowledge/data page</x:v>
      </x:c>
      <x:c r="C12" s="53" t="str">
        <x:v>Engineering</x:v>
      </x:c>
      <x:c r="D12" s="30" t="str">
        <x:v>Fluid Mechanics, Piping, Pumps, Fans and Ducts</x:v>
      </x:c>
      <x:c r="E12" s="30" t="str">
        <x:v>Fluid Properties</x:v>
      </x:c>
      <x:c r="F12" s="30" t="str">
        <x:v>Density and Specific Gravity › Liquid Properties</x:v>
      </x:c>
      <x:c r="G12" s="30" t="str">
        <x:v>Density, Specific Gravity and Specific Weight</x:v>
      </x:c>
      <x:c r="H12" s="30" t="str">
        <x:v>Engineering &gt; Fluid Mechanics, Piping, Pumps, Fans and Ducts &gt; Fluid Properties &gt; Density and Specific Gravity &gt; Liquid Properties &gt; Density, Specific Gravity and Specific Weight</x:v>
      </x:c>
      <x:c r="I12" s="30" t="str">
        <x:v>—</x:v>
      </x:c>
      <x:c r="J12" s="30" t="str">
        <x:v>Planned — not started</x:v>
      </x:c>
      <x:c r="K12" s="30" t="str">
        <x:v>Engineering knowledge page</x:v>
      </x:c>
      <x:c r="L12" s="30" t="str">
        <x:v>Pending URL standard</x:v>
      </x:c>
      <x:c r="M12" s="30" t="str">
        <x:v>ENG.density_specific_gravity_and_specific_weight</x:v>
      </x:c>
      <x:c r="N12" s="30" t="str">
        <x:v>Required: principle schematic or formula diagram</x:v>
      </x:c>
      <x:c r="O12" s="30" t="str">
        <x:v>Per frozen page-format standard</x:v>
      </x:c>
      <x:c r="P12" s="30" t="str">
        <x:v>Fundamental textbooks only — assign before drafting</x:v>
      </x:c>
      <x:c r="Q12" s="30" t="str">
        <x:v>Not started</x:v>
      </x:c>
      <x:c r="R12" s="30" t="str">
        <x:v>Not published</x:v>
      </x:c>
      <x:c r="S12" s="31" t="str">
        <x:v>New knowledge/data page; prepare only after editorial workflow is approved.</x:v>
      </x:c>
    </x:row>
    <x:row r="13" ht="42" customHeight="1">
      <x:c r="A13" s="50" t="str">
        <x:v>ICH-ENG-004</x:v>
      </x:c>
      <x:c r="B13" s="30" t="str">
        <x:v>Knowledge/data page</x:v>
      </x:c>
      <x:c r="C13" s="53" t="str">
        <x:v>Engineering</x:v>
      </x:c>
      <x:c r="D13" s="30" t="str">
        <x:v>Fluid Mechanics, Piping, Pumps, Fans and Ducts</x:v>
      </x:c>
      <x:c r="E13" s="30" t="str">
        <x:v>Fluid Properties</x:v>
      </x:c>
      <x:c r="F13" s="30" t="str">
        <x:v>Viscosity</x:v>
      </x:c>
      <x:c r="G13" s="30" t="str">
        <x:v>Dynamic and Kinematic Viscosity</x:v>
      </x:c>
      <x:c r="H13" s="30" t="str">
        <x:v>Engineering &gt; Fluid Mechanics, Piping, Pumps, Fans and Ducts &gt; Fluid Properties &gt; Viscosity &gt; Dynamic and Kinematic Viscosity</x:v>
      </x:c>
      <x:c r="I13" s="30" t="str">
        <x:v>—</x:v>
      </x:c>
      <x:c r="J13" s="30" t="str">
        <x:v>Planned — not started</x:v>
      </x:c>
      <x:c r="K13" s="30" t="str">
        <x:v>Engineering knowledge page</x:v>
      </x:c>
      <x:c r="L13" s="30" t="str">
        <x:v>Pending URL standard</x:v>
      </x:c>
      <x:c r="M13" s="30" t="str">
        <x:v>ENG.dynamic_and_kinematic_viscosity</x:v>
      </x:c>
      <x:c r="N13" s="30" t="str">
        <x:v>Required: principle schematic or formula diagram</x:v>
      </x:c>
      <x:c r="O13" s="30" t="str">
        <x:v>Per frozen page-format standard</x:v>
      </x:c>
      <x:c r="P13" s="30" t="str">
        <x:v>Fundamental textbooks only — assign before drafting</x:v>
      </x:c>
      <x:c r="Q13" s="30" t="str">
        <x:v>Not started</x:v>
      </x:c>
      <x:c r="R13" s="30" t="str">
        <x:v>Not published</x:v>
      </x:c>
      <x:c r="S13" s="31" t="str">
        <x:v>New knowledge/data page; prepare only after editorial workflow is approved.</x:v>
      </x:c>
    </x:row>
    <x:row r="14" ht="42" customHeight="1">
      <x:c r="A14" s="50" t="str">
        <x:v>ICH-ENG-005</x:v>
      </x:c>
      <x:c r="B14" s="30" t="str">
        <x:v>Knowledge/data page</x:v>
      </x:c>
      <x:c r="C14" s="53" t="str">
        <x:v>Engineering</x:v>
      </x:c>
      <x:c r="D14" s="30" t="str">
        <x:v>Fluid Mechanics, Piping, Pumps, Fans and Ducts</x:v>
      </x:c>
      <x:c r="E14" s="30" t="str">
        <x:v>Fluid Flow Principles</x:v>
      </x:c>
      <x:c r="F14" s="30" t="str">
        <x:v>Flow Regimes</x:v>
      </x:c>
      <x:c r="G14" s="30" t="str">
        <x:v>Reynolds Number: Laminar and Turbulent Flow</x:v>
      </x:c>
      <x:c r="H14" s="30" t="str">
        <x:v>Engineering &gt; Fluid Mechanics, Piping, Pumps, Fans and Ducts &gt; Fluid Flow Principles &gt; Flow Regimes &gt; Reynolds Number: Laminar and Turbulent Flow</x:v>
      </x:c>
      <x:c r="I14" s="30" t="str">
        <x:v>reynolds-number-explained.html</x:v>
      </x:c>
      <x:c r="J14" s="30" t="str">
        <x:v>Existing — review/restructure</x:v>
      </x:c>
      <x:c r="K14" s="30" t="str">
        <x:v>Engineering knowledge page</x:v>
      </x:c>
      <x:c r="L14" s="30" t="str">
        <x:v>Pending URL standard</x:v>
      </x:c>
      <x:c r="M14" s="30" t="str">
        <x:v>ENG.reynolds_number_laminar_and_turbulent_flow</x:v>
      </x:c>
      <x:c r="N14" s="30" t="str">
        <x:v>Required: principle schematic or formula diagram</x:v>
      </x:c>
      <x:c r="O14" s="30" t="str">
        <x:v>Per frozen page-format standard</x:v>
      </x:c>
      <x:c r="P14" s="30" t="str">
        <x:v>Fundamental textbooks only — assign before drafting</x:v>
      </x:c>
      <x:c r="Q14" s="30" t="str">
        <x:v>Audit existing page</x:v>
      </x:c>
      <x:c r="R14" s="30" t="str">
        <x:v>Existing — review/restructure</x:v>
      </x:c>
      <x:c r="S14" s="31" t="str">
        <x:v>Existing page requires format, links, references and visual audit.</x:v>
      </x:c>
    </x:row>
    <x:row r="15" ht="42" customHeight="1">
      <x:c r="A15" s="50" t="str">
        <x:v>ICH-ENG-006</x:v>
      </x:c>
      <x:c r="B15" s="30" t="str">
        <x:v>Knowledge/data page</x:v>
      </x:c>
      <x:c r="C15" s="53" t="str">
        <x:v>Engineering</x:v>
      </x:c>
      <x:c r="D15" s="30" t="str">
        <x:v>Fluid Mechanics, Piping, Pumps, Fans and Ducts</x:v>
      </x:c>
      <x:c r="E15" s="30" t="str">
        <x:v>Fluid Flow Principles</x:v>
      </x:c>
      <x:c r="F15" s="30" t="str">
        <x:v>Conservation of Energy</x:v>
      </x:c>
      <x:c r="G15" s="30" t="str">
        <x:v>Bernoulli Equation: Principle and Applications</x:v>
      </x:c>
      <x:c r="H15" s="30" t="str">
        <x:v>Engineering &gt; Fluid Mechanics, Piping, Pumps, Fans and Ducts &gt; Fluid Flow Principles &gt; Conservation of Energy &gt; Bernoulli Equation: Principle and Applications</x:v>
      </x:c>
      <x:c r="I15" s="30" t="str">
        <x:v>bernoulli-equation-explained.html</x:v>
      </x:c>
      <x:c r="J15" s="30" t="str">
        <x:v>Existing — review/restructure</x:v>
      </x:c>
      <x:c r="K15" s="30" t="str">
        <x:v>Engineering knowledge page</x:v>
      </x:c>
      <x:c r="L15" s="30" t="str">
        <x:v>Pending URL standard</x:v>
      </x:c>
      <x:c r="M15" s="30" t="str">
        <x:v>ENG.bernoulli_equation_principle_and_applications</x:v>
      </x:c>
      <x:c r="N15" s="30" t="str">
        <x:v>Required: principle schematic or formula diagram</x:v>
      </x:c>
      <x:c r="O15" s="30" t="str">
        <x:v>Per frozen page-format standard</x:v>
      </x:c>
      <x:c r="P15" s="30" t="str">
        <x:v>Fundamental textbooks only — assign before drafting</x:v>
      </x:c>
      <x:c r="Q15" s="30" t="str">
        <x:v>Audit existing page</x:v>
      </x:c>
      <x:c r="R15" s="30" t="str">
        <x:v>Existing — review/restructure</x:v>
      </x:c>
      <x:c r="S15" s="31" t="str">
        <x:v>Existing page requires format, links, references and visual audit.</x:v>
      </x:c>
    </x:row>
    <x:row r="16" ht="42" customHeight="1">
      <x:c r="A16" s="50" t="str">
        <x:v>ICH-ENG-007</x:v>
      </x:c>
      <x:c r="B16" s="30" t="str">
        <x:v>Knowledge/data page</x:v>
      </x:c>
      <x:c r="C16" s="53" t="str">
        <x:v>Engineering</x:v>
      </x:c>
      <x:c r="D16" s="30" t="str">
        <x:v>Fluid Mechanics, Piping, Pumps, Fans and Ducts</x:v>
      </x:c>
      <x:c r="E16" s="30" t="str">
        <x:v>Fluid Flow Principles</x:v>
      </x:c>
      <x:c r="F16" s="30" t="str">
        <x:v>Pressure and Head</x:v>
      </x:c>
      <x:c r="G16" s="30" t="str">
        <x:v>Pressure Head, Velocity Head and Total Head</x:v>
      </x:c>
      <x:c r="H16" s="30" t="str">
        <x:v>Engineering &gt; Fluid Mechanics, Piping, Pumps, Fans and Ducts &gt; Fluid Flow Principles &gt; Pressure and Head &gt; Pressure Head, Velocity Head and Total Head</x:v>
      </x:c>
      <x:c r="I16" s="30" t="str">
        <x:v>—</x:v>
      </x:c>
      <x:c r="J16" s="30" t="str">
        <x:v>Planned — not started</x:v>
      </x:c>
      <x:c r="K16" s="30" t="str">
        <x:v>Engineering knowledge page</x:v>
      </x:c>
      <x:c r="L16" s="30" t="str">
        <x:v>Pending URL standard</x:v>
      </x:c>
      <x:c r="M16" s="30" t="str">
        <x:v>ENG.pressure_head_velocity_head_and_total_head</x:v>
      </x:c>
      <x:c r="N16" s="30" t="str">
        <x:v>Required: principle schematic or formula diagram</x:v>
      </x:c>
      <x:c r="O16" s="30" t="str">
        <x:v>Per frozen page-format standard</x:v>
      </x:c>
      <x:c r="P16" s="30" t="str">
        <x:v>Fundamental textbooks only — assign before drafting</x:v>
      </x:c>
      <x:c r="Q16" s="30" t="str">
        <x:v>Not started</x:v>
      </x:c>
      <x:c r="R16" s="30" t="str">
        <x:v>Not published</x:v>
      </x:c>
      <x:c r="S16" s="31" t="str">
        <x:v>New knowledge/data page; prepare only after editorial workflow is approved.</x:v>
      </x:c>
    </x:row>
    <x:row r="17" ht="42" customHeight="1">
      <x:c r="A17" s="50" t="str">
        <x:v>ICH-ENG-008</x:v>
      </x:c>
      <x:c r="B17" s="30" t="str">
        <x:v>Knowledge/data page</x:v>
      </x:c>
      <x:c r="C17" s="53" t="str">
        <x:v>Engineering</x:v>
      </x:c>
      <x:c r="D17" s="30" t="str">
        <x:v>Fluid Mechanics, Piping, Pumps, Fans and Ducts</x:v>
      </x:c>
      <x:c r="E17" s="30" t="str">
        <x:v>Piping Systems</x:v>
      </x:c>
      <x:c r="F17" s="30" t="str">
        <x:v>Pipe Flow</x:v>
      </x:c>
      <x:c r="G17" s="30" t="str">
        <x:v>Pipe Flow Rate, Velocity and Diameter</x:v>
      </x:c>
      <x:c r="H17" s="30" t="str">
        <x:v>Engineering &gt; Fluid Mechanics, Piping, Pumps, Fans and Ducts &gt; Piping Systems &gt; Pipe Flow &gt; Pipe Flow Rate, Velocity and Diameter</x:v>
      </x:c>
      <x:c r="I17" s="30" t="str">
        <x:v>pipe-flow-basics.html</x:v>
      </x:c>
      <x:c r="J17" s="30" t="str">
        <x:v>Existing — review/restructure</x:v>
      </x:c>
      <x:c r="K17" s="30" t="str">
        <x:v>Engineering knowledge page</x:v>
      </x:c>
      <x:c r="L17" s="30" t="str">
        <x:v>Pending URL standard</x:v>
      </x:c>
      <x:c r="M17" s="30" t="str">
        <x:v>ENG.pipe_flow_rate_velocity_and_diameter</x:v>
      </x:c>
      <x:c r="N17" s="30" t="str">
        <x:v>Required: principle schematic or formula diagram</x:v>
      </x:c>
      <x:c r="O17" s="30" t="str">
        <x:v>Per frozen page-format standard</x:v>
      </x:c>
      <x:c r="P17" s="30" t="str">
        <x:v>Fundamental textbooks only — assign before drafting</x:v>
      </x:c>
      <x:c r="Q17" s="30" t="str">
        <x:v>Audit existing page</x:v>
      </x:c>
      <x:c r="R17" s="30" t="str">
        <x:v>Existing — review/restructure</x:v>
      </x:c>
      <x:c r="S17" s="31" t="str">
        <x:v>Existing page requires format, links, references and visual audit.</x:v>
      </x:c>
    </x:row>
    <x:row r="18" ht="42" customHeight="1">
      <x:c r="A18" s="50" t="str">
        <x:v>ICH-ENG-009</x:v>
      </x:c>
      <x:c r="B18" s="30" t="str">
        <x:v>Knowledge/data page</x:v>
      </x:c>
      <x:c r="C18" s="53" t="str">
        <x:v>Engineering</x:v>
      </x:c>
      <x:c r="D18" s="30" t="str">
        <x:v>Fluid Mechanics, Piping, Pumps, Fans and Ducts</x:v>
      </x:c>
      <x:c r="E18" s="30" t="str">
        <x:v>Piping Systems</x:v>
      </x:c>
      <x:c r="F18" s="30" t="str">
        <x:v>Pipe Flow</x:v>
      </x:c>
      <x:c r="G18" s="30" t="str">
        <x:v>Pipe Friction Loss and Darcy-Weisbach Equation</x:v>
      </x:c>
      <x:c r="H18" s="30" t="str">
        <x:v>Engineering &gt; Fluid Mechanics, Piping, Pumps, Fans and Ducts &gt; Piping Systems &gt; Pipe Flow &gt; Pipe Friction Loss and Darcy-Weisbach Equation</x:v>
      </x:c>
      <x:c r="I18" s="30" t="str">
        <x:v>—</x:v>
      </x:c>
      <x:c r="J18" s="30" t="str">
        <x:v>Planned — not started</x:v>
      </x:c>
      <x:c r="K18" s="30" t="str">
        <x:v>Engineering knowledge page</x:v>
      </x:c>
      <x:c r="L18" s="30" t="str">
        <x:v>Pending URL standard</x:v>
      </x:c>
      <x:c r="M18" s="30" t="str">
        <x:v>ENG.pipe_friction_loss_and_darcy_weisbach_equation</x:v>
      </x:c>
      <x:c r="N18" s="30" t="str">
        <x:v>Required: principle schematic or formula diagram</x:v>
      </x:c>
      <x:c r="O18" s="30" t="str">
        <x:v>Per frozen page-format standard</x:v>
      </x:c>
      <x:c r="P18" s="30" t="str">
        <x:v>Fundamental textbooks only — assign before drafting</x:v>
      </x:c>
      <x:c r="Q18" s="30" t="str">
        <x:v>Not started</x:v>
      </x:c>
      <x:c r="R18" s="30" t="str">
        <x:v>Not published</x:v>
      </x:c>
      <x:c r="S18" s="31" t="str">
        <x:v>New knowledge/data page; prepare only after editorial workflow is approved.</x:v>
      </x:c>
    </x:row>
    <x:row r="19" ht="42" customHeight="1">
      <x:c r="A19" s="50" t="str">
        <x:v>ICH-ENG-010</x:v>
      </x:c>
      <x:c r="B19" s="30" t="str">
        <x:v>Knowledge/data page</x:v>
      </x:c>
      <x:c r="C19" s="53" t="str">
        <x:v>Engineering</x:v>
      </x:c>
      <x:c r="D19" s="30" t="str">
        <x:v>Fluid Mechanics, Piping, Pumps, Fans and Ducts</x:v>
      </x:c>
      <x:c r="E19" s="30" t="str">
        <x:v>Piping Systems</x:v>
      </x:c>
      <x:c r="F19" s="30" t="str">
        <x:v>Pipe Losses</x:v>
      </x:c>
      <x:c r="G19" s="30" t="str">
        <x:v>Minor Losses in Pipes, Fittings and Valves</x:v>
      </x:c>
      <x:c r="H19" s="30" t="str">
        <x:v>Engineering &gt; Fluid Mechanics, Piping, Pumps, Fans and Ducts &gt; Piping Systems &gt; Pipe Losses &gt; Minor Losses in Pipes, Fittings and Valves</x:v>
      </x:c>
      <x:c r="I19" s="30" t="str">
        <x:v>—</x:v>
      </x:c>
      <x:c r="J19" s="30" t="str">
        <x:v>Planned — not started</x:v>
      </x:c>
      <x:c r="K19" s="30" t="str">
        <x:v>Engineering knowledge page</x:v>
      </x:c>
      <x:c r="L19" s="30" t="str">
        <x:v>Pending URL standard</x:v>
      </x:c>
      <x:c r="M19" s="30" t="str">
        <x:v>ENG.minor_losses_in_pipes_fittings_and_valves</x:v>
      </x:c>
      <x:c r="N19" s="30" t="str">
        <x:v>Required: principle schematic or formula diagram</x:v>
      </x:c>
      <x:c r="O19" s="30" t="str">
        <x:v>Per frozen page-format standard</x:v>
      </x:c>
      <x:c r="P19" s="30" t="str">
        <x:v>Fundamental textbooks only — assign before drafting</x:v>
      </x:c>
      <x:c r="Q19" s="30" t="str">
        <x:v>Not started</x:v>
      </x:c>
      <x:c r="R19" s="30" t="str">
        <x:v>Not published</x:v>
      </x:c>
      <x:c r="S19" s="31" t="str">
        <x:v>New knowledge/data page; prepare only after editorial workflow is approved.</x:v>
      </x:c>
    </x:row>
    <x:row r="20" ht="42" customHeight="1">
      <x:c r="A20" s="50" t="str">
        <x:v>ICH-ENG-011</x:v>
      </x:c>
      <x:c r="B20" s="30" t="str">
        <x:v>Knowledge/data page</x:v>
      </x:c>
      <x:c r="C20" s="53" t="str">
        <x:v>Engineering</x:v>
      </x:c>
      <x:c r="D20" s="30" t="str">
        <x:v>Fluid Mechanics, Piping, Pumps, Fans and Ducts</x:v>
      </x:c>
      <x:c r="E20" s="30" t="str">
        <x:v>Piping Systems</x:v>
      </x:c>
      <x:c r="F20" s="30" t="str">
        <x:v>Piping Design Basics</x:v>
      </x:c>
      <x:c r="G20" s="30" t="str">
        <x:v>Pipe Sizing: Engineering Inputs and Limitations</x:v>
      </x:c>
      <x:c r="H20" s="30" t="str">
        <x:v>Engineering &gt; Fluid Mechanics, Piping, Pumps, Fans and Ducts &gt; Piping Systems &gt; Piping Design Basics &gt; Pipe Sizing: Engineering Inputs and Limitations</x:v>
      </x:c>
      <x:c r="I20" s="30" t="str">
        <x:v>—</x:v>
      </x:c>
      <x:c r="J20" s="30" t="str">
        <x:v>Planned — not started</x:v>
      </x:c>
      <x:c r="K20" s="30" t="str">
        <x:v>Engineering knowledge page</x:v>
      </x:c>
      <x:c r="L20" s="30" t="str">
        <x:v>Pending URL standard</x:v>
      </x:c>
      <x:c r="M20" s="30" t="str">
        <x:v>ENG.pipe_sizing_engineering_inputs_and_limitations</x:v>
      </x:c>
      <x:c r="N20" s="30" t="str">
        <x:v>Required: principle schematic or formula diagram</x:v>
      </x:c>
      <x:c r="O20" s="30" t="str">
        <x:v>Per frozen page-format standard</x:v>
      </x:c>
      <x:c r="P20" s="30" t="str">
        <x:v>Fundamental textbooks only — assign before drafting</x:v>
      </x:c>
      <x:c r="Q20" s="30" t="str">
        <x:v>Not started</x:v>
      </x:c>
      <x:c r="R20" s="30" t="str">
        <x:v>Not published</x:v>
      </x:c>
      <x:c r="S20" s="31" t="str">
        <x:v>New knowledge/data page; prepare only after editorial workflow is approved.</x:v>
      </x:c>
    </x:row>
    <x:row r="21" ht="42" customHeight="1">
      <x:c r="A21" s="50" t="str">
        <x:v>ICH-ENG-012</x:v>
      </x:c>
      <x:c r="B21" s="30" t="str">
        <x:v>Knowledge/data page</x:v>
      </x:c>
      <x:c r="C21" s="53" t="str">
        <x:v>Engineering</x:v>
      </x:c>
      <x:c r="D21" s="30" t="str">
        <x:v>Fluid Mechanics, Piping, Pumps, Fans and Ducts</x:v>
      </x:c>
      <x:c r="E21" s="30" t="str">
        <x:v>Pumps</x:v>
      </x:c>
      <x:c r="F21" s="30" t="str">
        <x:v>Centrifugal Pumps</x:v>
      </x:c>
      <x:c r="G21" s="30" t="str">
        <x:v>Centrifugal Pump Working Principle</x:v>
      </x:c>
      <x:c r="H21" s="30" t="str">
        <x:v>Engineering &gt; Fluid Mechanics, Piping, Pumps, Fans and Ducts &gt; Pumps &gt; Centrifugal Pumps &gt; Centrifugal Pump Working Principle</x:v>
      </x:c>
      <x:c r="I21" s="30" t="str">
        <x:v>—</x:v>
      </x:c>
      <x:c r="J21" s="30" t="str">
        <x:v>Planned — not started</x:v>
      </x:c>
      <x:c r="K21" s="30" t="str">
        <x:v>Engineering knowledge page</x:v>
      </x:c>
      <x:c r="L21" s="30" t="str">
        <x:v>Pending URL standard</x:v>
      </x:c>
      <x:c r="M21" s="30" t="str">
        <x:v>ENG.centrifugal_pump_working_principle</x:v>
      </x:c>
      <x:c r="N21" s="30" t="str">
        <x:v>Required: principle schematic or formula diagram</x:v>
      </x:c>
      <x:c r="O21" s="30" t="str">
        <x:v>Per frozen page-format standard</x:v>
      </x:c>
      <x:c r="P21" s="30" t="str">
        <x:v>Fundamental textbooks only — assign before drafting</x:v>
      </x:c>
      <x:c r="Q21" s="30" t="str">
        <x:v>Not started</x:v>
      </x:c>
      <x:c r="R21" s="30" t="str">
        <x:v>Not published</x:v>
      </x:c>
      <x:c r="S21" s="31" t="str">
        <x:v>New knowledge/data page; prepare only after editorial workflow is approved.</x:v>
      </x:c>
    </x:row>
    <x:row r="22" ht="42" customHeight="1">
      <x:c r="A22" s="50" t="str">
        <x:v>ICH-ENG-013</x:v>
      </x:c>
      <x:c r="B22" s="30" t="str">
        <x:v>Knowledge/data page</x:v>
      </x:c>
      <x:c r="C22" s="53" t="str">
        <x:v>Engineering</x:v>
      </x:c>
      <x:c r="D22" s="30" t="str">
        <x:v>Fluid Mechanics, Piping, Pumps, Fans and Ducts</x:v>
      </x:c>
      <x:c r="E22" s="30" t="str">
        <x:v>Pumps</x:v>
      </x:c>
      <x:c r="F22" s="30" t="str">
        <x:v>Centrifugal Pumps</x:v>
      </x:c>
      <x:c r="G22" s="30" t="str">
        <x:v>Pump Curves and System Curves</x:v>
      </x:c>
      <x:c r="H22" s="30" t="str">
        <x:v>Engineering &gt; Fluid Mechanics, Piping, Pumps, Fans and Ducts &gt; Pumps &gt; Centrifugal Pumps &gt; Pump Curves and System Curves</x:v>
      </x:c>
      <x:c r="I22" s="30" t="str">
        <x:v>—</x:v>
      </x:c>
      <x:c r="J22" s="30" t="str">
        <x:v>Planned — not started</x:v>
      </x:c>
      <x:c r="K22" s="30" t="str">
        <x:v>Engineering knowledge page</x:v>
      </x:c>
      <x:c r="L22" s="30" t="str">
        <x:v>Pending URL standard</x:v>
      </x:c>
      <x:c r="M22" s="30" t="str">
        <x:v>ENG.pump_curves_and_system_curves</x:v>
      </x:c>
      <x:c r="N22" s="30" t="str">
        <x:v>Required: principle schematic or formula diagram</x:v>
      </x:c>
      <x:c r="O22" s="30" t="str">
        <x:v>Per frozen page-format standard</x:v>
      </x:c>
      <x:c r="P22" s="30" t="str">
        <x:v>Fundamental textbooks only — assign before drafting</x:v>
      </x:c>
      <x:c r="Q22" s="30" t="str">
        <x:v>Not started</x:v>
      </x:c>
      <x:c r="R22" s="30" t="str">
        <x:v>Not published</x:v>
      </x:c>
      <x:c r="S22" s="31" t="str">
        <x:v>New knowledge/data page; prepare only after editorial workflow is approved.</x:v>
      </x:c>
    </x:row>
    <x:row r="23" ht="42" customHeight="1">
      <x:c r="A23" s="50" t="str">
        <x:v>ICH-ENG-014</x:v>
      </x:c>
      <x:c r="B23" s="30" t="str">
        <x:v>Knowledge/data page</x:v>
      </x:c>
      <x:c r="C23" s="53" t="str">
        <x:v>Engineering</x:v>
      </x:c>
      <x:c r="D23" s="30" t="str">
        <x:v>Fluid Mechanics, Piping, Pumps, Fans and Ducts</x:v>
      </x:c>
      <x:c r="E23" s="30" t="str">
        <x:v>Pumps</x:v>
      </x:c>
      <x:c r="F23" s="30" t="str">
        <x:v>Pump Operation</x:v>
      </x:c>
      <x:c r="G23" s="30" t="str">
        <x:v>NPSH and Cavitation in Pumps</x:v>
      </x:c>
      <x:c r="H23" s="30" t="str">
        <x:v>Engineering &gt; Fluid Mechanics, Piping, Pumps, Fans and Ducts &gt; Pumps &gt; Pump Operation &gt; NPSH and Cavitation in Pumps</x:v>
      </x:c>
      <x:c r="I23" s="30" t="str">
        <x:v>—</x:v>
      </x:c>
      <x:c r="J23" s="30" t="str">
        <x:v>Planned — not started</x:v>
      </x:c>
      <x:c r="K23" s="30" t="str">
        <x:v>Engineering knowledge page</x:v>
      </x:c>
      <x:c r="L23" s="30" t="str">
        <x:v>Pending URL standard</x:v>
      </x:c>
      <x:c r="M23" s="30" t="str">
        <x:v>ENG.npsh_and_cavitation_in_pumps</x:v>
      </x:c>
      <x:c r="N23" s="30" t="str">
        <x:v>Required: principle schematic or formula diagram</x:v>
      </x:c>
      <x:c r="O23" s="30" t="str">
        <x:v>Per frozen page-format standard</x:v>
      </x:c>
      <x:c r="P23" s="30" t="str">
        <x:v>Fundamental textbooks only — assign before drafting</x:v>
      </x:c>
      <x:c r="Q23" s="30" t="str">
        <x:v>Not started</x:v>
      </x:c>
      <x:c r="R23" s="30" t="str">
        <x:v>Not published</x:v>
      </x:c>
      <x:c r="S23" s="31" t="str">
        <x:v>New knowledge/data page; prepare only after editorial workflow is approved.</x:v>
      </x:c>
    </x:row>
    <x:row r="24" ht="42" customHeight="1">
      <x:c r="A24" s="50" t="str">
        <x:v>ICH-ENG-015</x:v>
      </x:c>
      <x:c r="B24" s="30" t="str">
        <x:v>Knowledge/data page</x:v>
      </x:c>
      <x:c r="C24" s="53" t="str">
        <x:v>Engineering</x:v>
      </x:c>
      <x:c r="D24" s="30" t="str">
        <x:v>Fluid Mechanics, Piping, Pumps, Fans and Ducts</x:v>
      </x:c>
      <x:c r="E24" s="30" t="str">
        <x:v>Pumps</x:v>
      </x:c>
      <x:c r="F24" s="30" t="str">
        <x:v>Pump Selection</x:v>
      </x:c>
      <x:c r="G24" s="30" t="str">
        <x:v>Pump Power and Motor Selection Basics</x:v>
      </x:c>
      <x:c r="H24" s="30" t="str">
        <x:v>Engineering &gt; Fluid Mechanics, Piping, Pumps, Fans and Ducts &gt; Pumps &gt; Pump Selection &gt; Pump Power and Motor Selection Basics</x:v>
      </x:c>
      <x:c r="I24" s="30" t="str">
        <x:v>pump-power-basics.html</x:v>
      </x:c>
      <x:c r="J24" s="30" t="str">
        <x:v>Existing — review/restructure</x:v>
      </x:c>
      <x:c r="K24" s="30" t="str">
        <x:v>Engineering knowledge page</x:v>
      </x:c>
      <x:c r="L24" s="30" t="str">
        <x:v>Pending URL standard</x:v>
      </x:c>
      <x:c r="M24" s="30" t="str">
        <x:v>ENG.pump_power_and_motor_selection_basics</x:v>
      </x:c>
      <x:c r="N24" s="30" t="str">
        <x:v>Required: principle schematic or formula diagram</x:v>
      </x:c>
      <x:c r="O24" s="30" t="str">
        <x:v>Per frozen page-format standard</x:v>
      </x:c>
      <x:c r="P24" s="30" t="str">
        <x:v>Fundamental textbooks only — assign before drafting</x:v>
      </x:c>
      <x:c r="Q24" s="30" t="str">
        <x:v>Audit existing page</x:v>
      </x:c>
      <x:c r="R24" s="30" t="str">
        <x:v>Existing — review/restructure</x:v>
      </x:c>
      <x:c r="S24" s="31" t="str">
        <x:v>Existing page requires format, links, references and visual audit.</x:v>
      </x:c>
    </x:row>
    <x:row r="25" ht="42" customHeight="1">
      <x:c r="A25" s="50" t="str">
        <x:v>ICH-ENG-016</x:v>
      </x:c>
      <x:c r="B25" s="30" t="str">
        <x:v>Knowledge/data page</x:v>
      </x:c>
      <x:c r="C25" s="53" t="str">
        <x:v>Engineering</x:v>
      </x:c>
      <x:c r="D25" s="30" t="str">
        <x:v>Fluid Mechanics, Piping, Pumps, Fans and Ducts</x:v>
      </x:c>
      <x:c r="E25" s="30" t="str">
        <x:v>Fans and Duct Systems</x:v>
      </x:c>
      <x:c r="F25" s="30" t="str">
        <x:v>Industrial Fans</x:v>
      </x:c>
      <x:c r="G25" s="30" t="str">
        <x:v>Fan Laws, Static Pressure and Fan Power</x:v>
      </x:c>
      <x:c r="H25" s="30" t="str">
        <x:v>Engineering &gt; Fluid Mechanics, Piping, Pumps, Fans and Ducts &gt; Fans and Duct Systems &gt; Industrial Fans &gt; Fan Laws, Static Pressure and Fan Power</x:v>
      </x:c>
      <x:c r="I25" s="30" t="str">
        <x:v>—</x:v>
      </x:c>
      <x:c r="J25" s="30" t="str">
        <x:v>Planned — not started</x:v>
      </x:c>
      <x:c r="K25" s="30" t="str">
        <x:v>Engineering knowledge page</x:v>
      </x:c>
      <x:c r="L25" s="30" t="str">
        <x:v>Pending URL standard</x:v>
      </x:c>
      <x:c r="M25" s="30" t="str">
        <x:v>ENG.fan_laws_static_pressure_and_fan_power</x:v>
      </x:c>
      <x:c r="N25" s="30" t="str">
        <x:v>Required: principle schematic or formula diagram</x:v>
      </x:c>
      <x:c r="O25" s="30" t="str">
        <x:v>Per frozen page-format standard</x:v>
      </x:c>
      <x:c r="P25" s="30" t="str">
        <x:v>Fundamental textbooks only — assign before drafting</x:v>
      </x:c>
      <x:c r="Q25" s="30" t="str">
        <x:v>Not started</x:v>
      </x:c>
      <x:c r="R25" s="30" t="str">
        <x:v>Not published</x:v>
      </x:c>
      <x:c r="S25" s="31" t="str">
        <x:v>New knowledge/data page; prepare only after editorial workflow is approved.</x:v>
      </x:c>
    </x:row>
    <x:row r="26" ht="42" customHeight="1">
      <x:c r="A26" s="50" t="str">
        <x:v>ICH-ENG-017</x:v>
      </x:c>
      <x:c r="B26" s="30" t="str">
        <x:v>Knowledge/data page</x:v>
      </x:c>
      <x:c r="C26" s="53" t="str">
        <x:v>Engineering</x:v>
      </x:c>
      <x:c r="D26" s="30" t="str">
        <x:v>Fluid Mechanics, Piping, Pumps, Fans and Ducts</x:v>
      </x:c>
      <x:c r="E26" s="30" t="str">
        <x:v>Fans and Duct Systems</x:v>
      </x:c>
      <x:c r="F26" s="30" t="str">
        <x:v>Duct Systems › Duct Flow</x:v>
      </x:c>
      <x:c r="G26" s="30" t="str">
        <x:v>Duct Flow Rate, Velocity and Area</x:v>
      </x:c>
      <x:c r="H26" s="30" t="str">
        <x:v>Engineering &gt; Fluid Mechanics, Piping, Pumps, Fans and Ducts &gt; Fans and Duct Systems &gt; Duct Systems &gt; Duct Flow &gt; Duct Flow Rate, Velocity and Area</x:v>
      </x:c>
      <x:c r="I26" s="30" t="str">
        <x:v>duct-flow-rate-explained.html</x:v>
      </x:c>
      <x:c r="J26" s="30" t="str">
        <x:v>Existing — review/restructure</x:v>
      </x:c>
      <x:c r="K26" s="30" t="str">
        <x:v>Engineering knowledge page</x:v>
      </x:c>
      <x:c r="L26" s="30" t="str">
        <x:v>Pending URL standard</x:v>
      </x:c>
      <x:c r="M26" s="30" t="str">
        <x:v>ENG.duct_flow_rate_velocity_and_area</x:v>
      </x:c>
      <x:c r="N26" s="30" t="str">
        <x:v>Required: principle schematic or formula diagram</x:v>
      </x:c>
      <x:c r="O26" s="30" t="str">
        <x:v>Per frozen page-format standard</x:v>
      </x:c>
      <x:c r="P26" s="30" t="str">
        <x:v>Fundamental textbooks only — assign before drafting</x:v>
      </x:c>
      <x:c r="Q26" s="30" t="str">
        <x:v>Audit existing page</x:v>
      </x:c>
      <x:c r="R26" s="30" t="str">
        <x:v>Existing — review/restructure</x:v>
      </x:c>
      <x:c r="S26" s="31" t="str">
        <x:v>Existing page requires format, links, references and visual audit.</x:v>
      </x:c>
    </x:row>
    <x:row r="27" ht="42" customHeight="1">
      <x:c r="A27" s="50" t="str">
        <x:v>ICH-ENG-018</x:v>
      </x:c>
      <x:c r="B27" s="30" t="str">
        <x:v>Knowledge/data page</x:v>
      </x:c>
      <x:c r="C27" s="53" t="str">
        <x:v>Engineering</x:v>
      </x:c>
      <x:c r="D27" s="30" t="str">
        <x:v>Fluid Mechanics, Piping, Pumps, Fans and Ducts</x:v>
      </x:c>
      <x:c r="E27" s="30" t="str">
        <x:v>Fans and Duct Systems</x:v>
      </x:c>
      <x:c r="F27" s="30" t="str">
        <x:v>Duct Systems › Duct Pressure Loss</x:v>
      </x:c>
      <x:c r="G27" s="30" t="str">
        <x:v>Duct Pressure Loss and System Resistance</x:v>
      </x:c>
      <x:c r="H27" s="30" t="str">
        <x:v>Engineering &gt; Fluid Mechanics, Piping, Pumps, Fans and Ducts &gt; Fans and Duct Systems &gt; Duct Systems &gt; Duct Pressure Loss &gt; Duct Pressure Loss and System Resistance</x:v>
      </x:c>
      <x:c r="I27" s="30" t="str">
        <x:v>—</x:v>
      </x:c>
      <x:c r="J27" s="30" t="str">
        <x:v>Planned — not started</x:v>
      </x:c>
      <x:c r="K27" s="30" t="str">
        <x:v>Engineering knowledge page</x:v>
      </x:c>
      <x:c r="L27" s="30" t="str">
        <x:v>Pending URL standard</x:v>
      </x:c>
      <x:c r="M27" s="30" t="str">
        <x:v>ENG.duct_pressure_loss_and_system_resistance</x:v>
      </x:c>
      <x:c r="N27" s="30" t="str">
        <x:v>Required: principle schematic or formula diagram</x:v>
      </x:c>
      <x:c r="O27" s="30" t="str">
        <x:v>Per frozen page-format standard</x:v>
      </x:c>
      <x:c r="P27" s="30" t="str">
        <x:v>Fundamental textbooks only — assign before drafting</x:v>
      </x:c>
      <x:c r="Q27" s="30" t="str">
        <x:v>Not started</x:v>
      </x:c>
      <x:c r="R27" s="30" t="str">
        <x:v>Not published</x:v>
      </x:c>
      <x:c r="S27" s="31" t="str">
        <x:v>New knowledge/data page; prepare only after editorial workflow is approved.</x:v>
      </x:c>
    </x:row>
    <x:row r="28" ht="42" customHeight="1">
      <x:c r="A28" s="50" t="str">
        <x:v>ICH-ENG-019</x:v>
      </x:c>
      <x:c r="B28" s="30" t="str">
        <x:v>Knowledge/data page</x:v>
      </x:c>
      <x:c r="C28" s="53" t="str">
        <x:v>Engineering</x:v>
      </x:c>
      <x:c r="D28" s="30" t="str">
        <x:v>Thermal Engineering and Boilers</x:v>
      </x:c>
      <x:c r="E28" s="30" t="str">
        <x:v>Heat Transfer</x:v>
      </x:c>
      <x:c r="F28" s="30" t="str">
        <x:v>Conduction</x:v>
      </x:c>
      <x:c r="G28" s="30" t="str">
        <x:v>Heat Conduction: Principles, Formula and Industrial Applications</x:v>
      </x:c>
      <x:c r="H28" s="30" t="str">
        <x:v>Engineering &gt; Thermal Engineering and Boilers &gt; Heat Transfer &gt; Conduction &gt; Heat Conduction: Principles, Formula and Industrial Applications</x:v>
      </x:c>
      <x:c r="I28" s="30" t="str">
        <x:v>heat-conduction-explained.html</x:v>
      </x:c>
      <x:c r="J28" s="30" t="str">
        <x:v>Existing — review/restructure</x:v>
      </x:c>
      <x:c r="K28" s="30" t="str">
        <x:v>Engineering knowledge page</x:v>
      </x:c>
      <x:c r="L28" s="30" t="str">
        <x:v>Pending URL standard</x:v>
      </x:c>
      <x:c r="M28" s="30" t="str">
        <x:v>ENG.heat_conduction_principles_formula_and_industrial_applications</x:v>
      </x:c>
      <x:c r="N28" s="30" t="str">
        <x:v>Required: principle schematic or formula diagram</x:v>
      </x:c>
      <x:c r="O28" s="30" t="str">
        <x:v>Per frozen page-format standard</x:v>
      </x:c>
      <x:c r="P28" s="30" t="str">
        <x:v>Fundamental textbooks only — assign before drafting</x:v>
      </x:c>
      <x:c r="Q28" s="30" t="str">
        <x:v>Audit existing page</x:v>
      </x:c>
      <x:c r="R28" s="30" t="str">
        <x:v>Existing — review/restructure</x:v>
      </x:c>
      <x:c r="S28" s="31" t="str">
        <x:v>Existing page requires format, links, references and visual audit.</x:v>
      </x:c>
    </x:row>
    <x:row r="29" ht="42" customHeight="1">
      <x:c r="A29" s="50" t="str">
        <x:v>ICH-ENG-020</x:v>
      </x:c>
      <x:c r="B29" s="30" t="str">
        <x:v>Knowledge/data page</x:v>
      </x:c>
      <x:c r="C29" s="53" t="str">
        <x:v>Engineering</x:v>
      </x:c>
      <x:c r="D29" s="30" t="str">
        <x:v>Thermal Engineering and Boilers</x:v>
      </x:c>
      <x:c r="E29" s="30" t="str">
        <x:v>Heat Transfer</x:v>
      </x:c>
      <x:c r="F29" s="30" t="str">
        <x:v>Convection</x:v>
      </x:c>
      <x:c r="G29" s="30" t="str">
        <x:v>Convective Heat Transfer and Heat Transfer Coefficient</x:v>
      </x:c>
      <x:c r="H29" s="30" t="str">
        <x:v>Engineering &gt; Thermal Engineering and Boilers &gt; Heat Transfer &gt; Convection &gt; Convective Heat Transfer and Heat Transfer Coefficient</x:v>
      </x:c>
      <x:c r="I29" s="30" t="str">
        <x:v>—</x:v>
      </x:c>
      <x:c r="J29" s="30" t="str">
        <x:v>Planned — not started</x:v>
      </x:c>
      <x:c r="K29" s="30" t="str">
        <x:v>Engineering knowledge page</x:v>
      </x:c>
      <x:c r="L29" s="30" t="str">
        <x:v>Pending URL standard</x:v>
      </x:c>
      <x:c r="M29" s="30" t="str">
        <x:v>ENG.convective_heat_transfer_and_heat_transfer_coefficient</x:v>
      </x:c>
      <x:c r="N29" s="30" t="str">
        <x:v>Required: principle schematic or formula diagram</x:v>
      </x:c>
      <x:c r="O29" s="30" t="str">
        <x:v>Per frozen page-format standard</x:v>
      </x:c>
      <x:c r="P29" s="30" t="str">
        <x:v>Fundamental textbooks only — assign before drafting</x:v>
      </x:c>
      <x:c r="Q29" s="30" t="str">
        <x:v>Not started</x:v>
      </x:c>
      <x:c r="R29" s="30" t="str">
        <x:v>Not published</x:v>
      </x:c>
      <x:c r="S29" s="31" t="str">
        <x:v>New knowledge/data page; prepare only after editorial workflow is approved.</x:v>
      </x:c>
    </x:row>
    <x:row r="30" ht="42" customHeight="1">
      <x:c r="A30" s="50" t="str">
        <x:v>ICH-ENG-021</x:v>
      </x:c>
      <x:c r="B30" s="30" t="str">
        <x:v>Knowledge/data page</x:v>
      </x:c>
      <x:c r="C30" s="53" t="str">
        <x:v>Engineering</x:v>
      </x:c>
      <x:c r="D30" s="30" t="str">
        <x:v>Thermal Engineering and Boilers</x:v>
      </x:c>
      <x:c r="E30" s="30" t="str">
        <x:v>Heat Transfer</x:v>
      </x:c>
      <x:c r="F30" s="30" t="str">
        <x:v>Radiation</x:v>
      </x:c>
      <x:c r="G30" s="30" t="str">
        <x:v>Thermal Radiation and Emissivity</x:v>
      </x:c>
      <x:c r="H30" s="30" t="str">
        <x:v>Engineering &gt; Thermal Engineering and Boilers &gt; Heat Transfer &gt; Radiation &gt; Thermal Radiation and Emissivity</x:v>
      </x:c>
      <x:c r="I30" s="30" t="str">
        <x:v>—</x:v>
      </x:c>
      <x:c r="J30" s="30" t="str">
        <x:v>Planned — not started</x:v>
      </x:c>
      <x:c r="K30" s="30" t="str">
        <x:v>Engineering knowledge page</x:v>
      </x:c>
      <x:c r="L30" s="30" t="str">
        <x:v>Pending URL standard</x:v>
      </x:c>
      <x:c r="M30" s="30" t="str">
        <x:v>ENG.thermal_radiation_and_emissivity</x:v>
      </x:c>
      <x:c r="N30" s="30" t="str">
        <x:v>Required: principle schematic or formula diagram</x:v>
      </x:c>
      <x:c r="O30" s="30" t="str">
        <x:v>Per frozen page-format standard</x:v>
      </x:c>
      <x:c r="P30" s="30" t="str">
        <x:v>Fundamental textbooks only — assign before drafting</x:v>
      </x:c>
      <x:c r="Q30" s="30" t="str">
        <x:v>Not started</x:v>
      </x:c>
      <x:c r="R30" s="30" t="str">
        <x:v>Not published</x:v>
      </x:c>
      <x:c r="S30" s="31" t="str">
        <x:v>New knowledge/data page; prepare only after editorial workflow is approved.</x:v>
      </x:c>
    </x:row>
    <x:row r="31" ht="42" customHeight="1">
      <x:c r="A31" s="50" t="str">
        <x:v>ICH-ENG-022</x:v>
      </x:c>
      <x:c r="B31" s="30" t="str">
        <x:v>Knowledge/data page</x:v>
      </x:c>
      <x:c r="C31" s="53" t="str">
        <x:v>Engineering</x:v>
      </x:c>
      <x:c r="D31" s="30" t="str">
        <x:v>Thermal Engineering and Boilers</x:v>
      </x:c>
      <x:c r="E31" s="30" t="str">
        <x:v>Heat Transfer</x:v>
      </x:c>
      <x:c r="F31" s="30" t="str">
        <x:v>Overall Heat Transfer</x:v>
      </x:c>
      <x:c r="G31" s="30" t="str">
        <x:v>Overall Heat Transfer Coefficient</x:v>
      </x:c>
      <x:c r="H31" s="30" t="str">
        <x:v>Engineering &gt; Thermal Engineering and Boilers &gt; Heat Transfer &gt; Overall Heat Transfer &gt; Overall Heat Transfer Coefficient</x:v>
      </x:c>
      <x:c r="I31" s="30" t="str">
        <x:v>—</x:v>
      </x:c>
      <x:c r="J31" s="30" t="str">
        <x:v>Planned — not started</x:v>
      </x:c>
      <x:c r="K31" s="30" t="str">
        <x:v>Engineering knowledge page</x:v>
      </x:c>
      <x:c r="L31" s="30" t="str">
        <x:v>Pending URL standard</x:v>
      </x:c>
      <x:c r="M31" s="30" t="str">
        <x:v>ENG.overall_heat_transfer_coefficient</x:v>
      </x:c>
      <x:c r="N31" s="30" t="str">
        <x:v>Required: principle schematic or formula diagram</x:v>
      </x:c>
      <x:c r="O31" s="30" t="str">
        <x:v>Per frozen page-format standard</x:v>
      </x:c>
      <x:c r="P31" s="30" t="str">
        <x:v>Fundamental textbooks only — assign before drafting</x:v>
      </x:c>
      <x:c r="Q31" s="30" t="str">
        <x:v>Not started</x:v>
      </x:c>
      <x:c r="R31" s="30" t="str">
        <x:v>Not published</x:v>
      </x:c>
      <x:c r="S31" s="31" t="str">
        <x:v>New knowledge/data page; prepare only after editorial workflow is approved.</x:v>
      </x:c>
    </x:row>
    <x:row r="32" ht="42" customHeight="1">
      <x:c r="A32" s="50" t="str">
        <x:v>ICH-ENG-023</x:v>
      </x:c>
      <x:c r="B32" s="30" t="str">
        <x:v>Knowledge/data page</x:v>
      </x:c>
      <x:c r="C32" s="53" t="str">
        <x:v>Engineering</x:v>
      </x:c>
      <x:c r="D32" s="30" t="str">
        <x:v>Thermal Engineering and Boilers</x:v>
      </x:c>
      <x:c r="E32" s="30" t="str">
        <x:v>Thermal Expansion and Insulation</x:v>
      </x:c>
      <x:c r="F32" s="30" t="str">
        <x:v>Thermal Expansion</x:v>
      </x:c>
      <x:c r="G32" s="30" t="str">
        <x:v>Thermal Expansion of Solids and Piping</x:v>
      </x:c>
      <x:c r="H32" s="30" t="str">
        <x:v>Engineering &gt; Thermal Engineering and Boilers &gt; Thermal Expansion and Insulation &gt; Thermal Expansion &gt; Thermal Expansion of Solids and Piping</x:v>
      </x:c>
      <x:c r="I32" s="30" t="str">
        <x:v>thermal-expansion-explained.html</x:v>
      </x:c>
      <x:c r="J32" s="30" t="str">
        <x:v>Existing — review/restructure</x:v>
      </x:c>
      <x:c r="K32" s="30" t="str">
        <x:v>Engineering knowledge page</x:v>
      </x:c>
      <x:c r="L32" s="30" t="str">
        <x:v>Pending URL standard</x:v>
      </x:c>
      <x:c r="M32" s="30" t="str">
        <x:v>ENG.thermal_expansion_of_solids_and_piping</x:v>
      </x:c>
      <x:c r="N32" s="30" t="str">
        <x:v>Required: principle schematic or formula diagram</x:v>
      </x:c>
      <x:c r="O32" s="30" t="str">
        <x:v>Per frozen page-format standard</x:v>
      </x:c>
      <x:c r="P32" s="30" t="str">
        <x:v>Fundamental textbooks only — assign before drafting</x:v>
      </x:c>
      <x:c r="Q32" s="30" t="str">
        <x:v>Audit existing page</x:v>
      </x:c>
      <x:c r="R32" s="30" t="str">
        <x:v>Existing — review/restructure</x:v>
      </x:c>
      <x:c r="S32" s="31" t="str">
        <x:v>Existing page requires format, links, references and visual audit.</x:v>
      </x:c>
    </x:row>
    <x:row r="33" ht="42" customHeight="1">
      <x:c r="A33" s="50" t="str">
        <x:v>ICH-ENG-024</x:v>
      </x:c>
      <x:c r="B33" s="30" t="str">
        <x:v>Knowledge/data page</x:v>
      </x:c>
      <x:c r="C33" s="53" t="str">
        <x:v>Engineering</x:v>
      </x:c>
      <x:c r="D33" s="30" t="str">
        <x:v>Thermal Engineering and Boilers</x:v>
      </x:c>
      <x:c r="E33" s="30" t="str">
        <x:v>Thermal Expansion and Insulation</x:v>
      </x:c>
      <x:c r="F33" s="30" t="str">
        <x:v>Insulation</x:v>
      </x:c>
      <x:c r="G33" s="30" t="str">
        <x:v>Industrial Insulation and Heat Loss Reduction</x:v>
      </x:c>
      <x:c r="H33" s="30" t="str">
        <x:v>Engineering &gt; Thermal Engineering and Boilers &gt; Thermal Expansion and Insulation &gt; Insulation &gt; Industrial Insulation and Heat Loss Reduction</x:v>
      </x:c>
      <x:c r="I33" s="30" t="str">
        <x:v>—</x:v>
      </x:c>
      <x:c r="J33" s="30" t="str">
        <x:v>Planned — not started</x:v>
      </x:c>
      <x:c r="K33" s="30" t="str">
        <x:v>Engineering knowledge page</x:v>
      </x:c>
      <x:c r="L33" s="30" t="str">
        <x:v>Pending URL standard</x:v>
      </x:c>
      <x:c r="M33" s="30" t="str">
        <x:v>ENG.industrial_insulation_and_heat_loss_reduction</x:v>
      </x:c>
      <x:c r="N33" s="30" t="str">
        <x:v>Required: principle schematic or formula diagram</x:v>
      </x:c>
      <x:c r="O33" s="30" t="str">
        <x:v>Per frozen page-format standard</x:v>
      </x:c>
      <x:c r="P33" s="30" t="str">
        <x:v>Fundamental textbooks only — assign before drafting</x:v>
      </x:c>
      <x:c r="Q33" s="30" t="str">
        <x:v>Not started</x:v>
      </x:c>
      <x:c r="R33" s="30" t="str">
        <x:v>Not published</x:v>
      </x:c>
      <x:c r="S33" s="31" t="str">
        <x:v>New knowledge/data page; prepare only after editorial workflow is approved.</x:v>
      </x:c>
    </x:row>
    <x:row r="34" ht="42" customHeight="1">
      <x:c r="A34" s="50" t="str">
        <x:v>ICH-ENG-025</x:v>
      </x:c>
      <x:c r="B34" s="30" t="str">
        <x:v>Knowledge/data page</x:v>
      </x:c>
      <x:c r="C34" s="53" t="str">
        <x:v>Engineering</x:v>
      </x:c>
      <x:c r="D34" s="30" t="str">
        <x:v>Thermal Engineering and Boilers</x:v>
      </x:c>
      <x:c r="E34" s="30" t="str">
        <x:v>Heat Exchange Equipment</x:v>
      </x:c>
      <x:c r="F34" s="30" t="str">
        <x:v>Heat Exchanger Fundamentals</x:v>
      </x:c>
      <x:c r="G34" s="30" t="str">
        <x:v>Heat Exchanger Working Principle and Types</x:v>
      </x:c>
      <x:c r="H34" s="30" t="str">
        <x:v>Engineering &gt; Thermal Engineering and Boilers &gt; Heat Exchange Equipment &gt; Heat Exchanger Fundamentals &gt; Heat Exchanger Working Principle and Types</x:v>
      </x:c>
      <x:c r="I34" s="30" t="str">
        <x:v>—</x:v>
      </x:c>
      <x:c r="J34" s="30" t="str">
        <x:v>Planned — not started</x:v>
      </x:c>
      <x:c r="K34" s="30" t="str">
        <x:v>Engineering knowledge page</x:v>
      </x:c>
      <x:c r="L34" s="30" t="str">
        <x:v>Pending URL standard</x:v>
      </x:c>
      <x:c r="M34" s="30" t="str">
        <x:v>ENG.heat_exchanger_working_principle_and_types</x:v>
      </x:c>
      <x:c r="N34" s="30" t="str">
        <x:v>Required: principle schematic or formula diagram</x:v>
      </x:c>
      <x:c r="O34" s="30" t="str">
        <x:v>Per frozen page-format standard</x:v>
      </x:c>
      <x:c r="P34" s="30" t="str">
        <x:v>Fundamental textbooks only — assign before drafting</x:v>
      </x:c>
      <x:c r="Q34" s="30" t="str">
        <x:v>Not started</x:v>
      </x:c>
      <x:c r="R34" s="30" t="str">
        <x:v>Not published</x:v>
      </x:c>
      <x:c r="S34" s="31" t="str">
        <x:v>New knowledge/data page; prepare only after editorial workflow is approved.</x:v>
      </x:c>
    </x:row>
    <x:row r="35" ht="42" customHeight="1">
      <x:c r="A35" s="50" t="str">
        <x:v>ICH-ENG-026</x:v>
      </x:c>
      <x:c r="B35" s="30" t="str">
        <x:v>Knowledge/data page</x:v>
      </x:c>
      <x:c r="C35" s="53" t="str">
        <x:v>Engineering</x:v>
      </x:c>
      <x:c r="D35" s="30" t="str">
        <x:v>Thermal Engineering and Boilers</x:v>
      </x:c>
      <x:c r="E35" s="30" t="str">
        <x:v>Heat Exchange Equipment</x:v>
      </x:c>
      <x:c r="F35" s="30" t="str">
        <x:v>Heat Exchanger Performance</x:v>
      </x:c>
      <x:c r="G35" s="30" t="str">
        <x:v>LMTD and Heat Exchanger Thermal Design Basics</x:v>
      </x:c>
      <x:c r="H35" s="30" t="str">
        <x:v>Engineering &gt; Thermal Engineering and Boilers &gt; Heat Exchange Equipment &gt; Heat Exchanger Performance &gt; LMTD and Heat Exchanger Thermal Design Basics</x:v>
      </x:c>
      <x:c r="I35" s="30" t="str">
        <x:v>—</x:v>
      </x:c>
      <x:c r="J35" s="30" t="str">
        <x:v>Planned — not started</x:v>
      </x:c>
      <x:c r="K35" s="30" t="str">
        <x:v>Engineering knowledge page</x:v>
      </x:c>
      <x:c r="L35" s="30" t="str">
        <x:v>Pending URL standard</x:v>
      </x:c>
      <x:c r="M35" s="30" t="str">
        <x:v>ENG.lmtd_and_heat_exchanger_thermal_design_basics</x:v>
      </x:c>
      <x:c r="N35" s="30" t="str">
        <x:v>Required: principle schematic or formula diagram</x:v>
      </x:c>
      <x:c r="O35" s="30" t="str">
        <x:v>Per frozen page-format standard</x:v>
      </x:c>
      <x:c r="P35" s="30" t="str">
        <x:v>Fundamental textbooks only — assign before drafting</x:v>
      </x:c>
      <x:c r="Q35" s="30" t="str">
        <x:v>Not started</x:v>
      </x:c>
      <x:c r="R35" s="30" t="str">
        <x:v>Not published</x:v>
      </x:c>
      <x:c r="S35" s="31" t="str">
        <x:v>New knowledge/data page; prepare only after editorial workflow is approved.</x:v>
      </x:c>
    </x:row>
    <x:row r="36" ht="42" customHeight="1">
      <x:c r="A36" s="50" t="str">
        <x:v>ICH-ENG-027</x:v>
      </x:c>
      <x:c r="B36" s="30" t="str">
        <x:v>Knowledge/data page</x:v>
      </x:c>
      <x:c r="C36" s="53" t="str">
        <x:v>Engineering</x:v>
      </x:c>
      <x:c r="D36" s="30" t="str">
        <x:v>Thermal Engineering and Boilers</x:v>
      </x:c>
      <x:c r="E36" s="30" t="str">
        <x:v>Boilers and Combustion</x:v>
      </x:c>
      <x:c r="F36" s="30" t="str">
        <x:v>Boiler Performance</x:v>
      </x:c>
      <x:c r="G36" s="30" t="str">
        <x:v>Boiler Efficiency and Heat Losses</x:v>
      </x:c>
      <x:c r="H36" s="30" t="str">
        <x:v>Engineering &gt; Thermal Engineering and Boilers &gt; Boilers and Combustion &gt; Boiler Performance &gt; Boiler Efficiency and Heat Losses</x:v>
      </x:c>
      <x:c r="I36" s="30" t="str">
        <x:v>boiler-efficiency-explained.html</x:v>
      </x:c>
      <x:c r="J36" s="30" t="str">
        <x:v>Existing — review/restructure</x:v>
      </x:c>
      <x:c r="K36" s="30" t="str">
        <x:v>Engineering knowledge page</x:v>
      </x:c>
      <x:c r="L36" s="30" t="str">
        <x:v>Pending URL standard</x:v>
      </x:c>
      <x:c r="M36" s="30" t="str">
        <x:v>ENG.boiler_efficiency_and_heat_losses</x:v>
      </x:c>
      <x:c r="N36" s="30" t="str">
        <x:v>Required: principle schematic or formula diagram</x:v>
      </x:c>
      <x:c r="O36" s="30" t="str">
        <x:v>Per frozen page-format standard</x:v>
      </x:c>
      <x:c r="P36" s="30" t="str">
        <x:v>Fundamental textbooks only — assign before drafting</x:v>
      </x:c>
      <x:c r="Q36" s="30" t="str">
        <x:v>Audit existing page</x:v>
      </x:c>
      <x:c r="R36" s="30" t="str">
        <x:v>Existing — review/restructure</x:v>
      </x:c>
      <x:c r="S36" s="31" t="str">
        <x:v>Existing page requires format, links, references and visual audit.</x:v>
      </x:c>
    </x:row>
    <x:row r="37" ht="42" customHeight="1">
      <x:c r="A37" s="50" t="str">
        <x:v>ICH-ENG-028</x:v>
      </x:c>
      <x:c r="B37" s="30" t="str">
        <x:v>Knowledge/data page</x:v>
      </x:c>
      <x:c r="C37" s="53" t="str">
        <x:v>Engineering</x:v>
      </x:c>
      <x:c r="D37" s="30" t="str">
        <x:v>Thermal Engineering and Boilers</x:v>
      </x:c>
      <x:c r="E37" s="30" t="str">
        <x:v>Boilers and Combustion</x:v>
      </x:c>
      <x:c r="F37" s="30" t="str">
        <x:v>Combustion</x:v>
      </x:c>
      <x:c r="G37" s="30" t="str">
        <x:v>Combustion, Excess Air and Flue Gas Basics</x:v>
      </x:c>
      <x:c r="H37" s="30" t="str">
        <x:v>Engineering &gt; Thermal Engineering and Boilers &gt; Boilers and Combustion &gt; Combustion &gt; Combustion, Excess Air and Flue Gas Basics</x:v>
      </x:c>
      <x:c r="I37" s="30" t="str">
        <x:v>—</x:v>
      </x:c>
      <x:c r="J37" s="30" t="str">
        <x:v>Planned — not started</x:v>
      </x:c>
      <x:c r="K37" s="30" t="str">
        <x:v>Engineering knowledge page</x:v>
      </x:c>
      <x:c r="L37" s="30" t="str">
        <x:v>Pending URL standard</x:v>
      </x:c>
      <x:c r="M37" s="30" t="str">
        <x:v>ENG.combustion_excess_air_and_flue_gas_basics</x:v>
      </x:c>
      <x:c r="N37" s="30" t="str">
        <x:v>Required: principle schematic or formula diagram</x:v>
      </x:c>
      <x:c r="O37" s="30" t="str">
        <x:v>Per frozen page-format standard</x:v>
      </x:c>
      <x:c r="P37" s="30" t="str">
        <x:v>Fundamental textbooks only — assign before drafting</x:v>
      </x:c>
      <x:c r="Q37" s="30" t="str">
        <x:v>Not started</x:v>
      </x:c>
      <x:c r="R37" s="30" t="str">
        <x:v>Not published</x:v>
      </x:c>
      <x:c r="S37" s="31" t="str">
        <x:v>New knowledge/data page; prepare only after editorial workflow is approved.</x:v>
      </x:c>
    </x:row>
    <x:row r="38" ht="42" customHeight="1">
      <x:c r="A38" s="50" t="str">
        <x:v>ICH-ENG-029</x:v>
      </x:c>
      <x:c r="B38" s="30" t="str">
        <x:v>Knowledge/data page</x:v>
      </x:c>
      <x:c r="C38" s="53" t="str">
        <x:v>Engineering</x:v>
      </x:c>
      <x:c r="D38" s="30" t="str">
        <x:v>Thermal Engineering and Boilers</x:v>
      </x:c>
      <x:c r="E38" s="30" t="str">
        <x:v>Boilers and Combustion</x:v>
      </x:c>
      <x:c r="F38" s="30" t="str">
        <x:v>Steam Systems</x:v>
      </x:c>
      <x:c r="G38" s="30" t="str">
        <x:v>Steam Generation, Superheating and Reheating</x:v>
      </x:c>
      <x:c r="H38" s="30" t="str">
        <x:v>Engineering &gt; Thermal Engineering and Boilers &gt; Boilers and Combustion &gt; Steam Systems &gt; Steam Generation, Superheating and Reheating</x:v>
      </x:c>
      <x:c r="I38" s="30" t="str">
        <x:v>—</x:v>
      </x:c>
      <x:c r="J38" s="30" t="str">
        <x:v>Planned — not started</x:v>
      </x:c>
      <x:c r="K38" s="30" t="str">
        <x:v>Engineering knowledge page</x:v>
      </x:c>
      <x:c r="L38" s="30" t="str">
        <x:v>Pending URL standard</x:v>
      </x:c>
      <x:c r="M38" s="30" t="str">
        <x:v>ENG.steam_generation_superheating_and_reheating</x:v>
      </x:c>
      <x:c r="N38" s="30" t="str">
        <x:v>Required: principle schematic or formula diagram</x:v>
      </x:c>
      <x:c r="O38" s="30" t="str">
        <x:v>Per frozen page-format standard</x:v>
      </x:c>
      <x:c r="P38" s="30" t="str">
        <x:v>Fundamental textbooks only — assign before drafting</x:v>
      </x:c>
      <x:c r="Q38" s="30" t="str">
        <x:v>Not started</x:v>
      </x:c>
      <x:c r="R38" s="30" t="str">
        <x:v>Not published</x:v>
      </x:c>
      <x:c r="S38" s="31" t="str">
        <x:v>New knowledge/data page; prepare only after editorial workflow is approved.</x:v>
      </x:c>
    </x:row>
    <x:row r="39" ht="42" customHeight="1">
      <x:c r="A39" s="50" t="str">
        <x:v>ICH-ENG-030</x:v>
      </x:c>
      <x:c r="B39" s="30" t="str">
        <x:v>Knowledge/data page</x:v>
      </x:c>
      <x:c r="C39" s="53" t="str">
        <x:v>Engineering</x:v>
      </x:c>
      <x:c r="D39" s="30" t="str">
        <x:v>Thermal Engineering and Boilers</x:v>
      </x:c>
      <x:c r="E39" s="30" t="str">
        <x:v>Cooling Systems</x:v>
      </x:c>
      <x:c r="F39" s="30" t="str">
        <x:v>Cooling Towers</x:v>
      </x:c>
      <x:c r="G39" s="30" t="str">
        <x:v>Cooling Tower Working Principle and Performance Basics</x:v>
      </x:c>
      <x:c r="H39" s="30" t="str">
        <x:v>Engineering &gt; Thermal Engineering and Boilers &gt; Cooling Systems &gt; Cooling Towers &gt; Cooling Tower Working Principle and Performance Basics</x:v>
      </x:c>
      <x:c r="I39" s="30" t="str">
        <x:v>—</x:v>
      </x:c>
      <x:c r="J39" s="30" t="str">
        <x:v>Planned — not started</x:v>
      </x:c>
      <x:c r="K39" s="30" t="str">
        <x:v>Engineering knowledge page</x:v>
      </x:c>
      <x:c r="L39" s="30" t="str">
        <x:v>Pending URL standard</x:v>
      </x:c>
      <x:c r="M39" s="30" t="str">
        <x:v>ENG.cooling_tower_working_principle_and_performance_basics</x:v>
      </x:c>
      <x:c r="N39" s="30" t="str">
        <x:v>Required: principle schematic or formula diagram</x:v>
      </x:c>
      <x:c r="O39" s="30" t="str">
        <x:v>Per frozen page-format standard</x:v>
      </x:c>
      <x:c r="P39" s="30" t="str">
        <x:v>Fundamental textbooks only — assign before drafting</x:v>
      </x:c>
      <x:c r="Q39" s="30" t="str">
        <x:v>Not started</x:v>
      </x:c>
      <x:c r="R39" s="30" t="str">
        <x:v>Not published</x:v>
      </x:c>
      <x:c r="S39" s="31" t="str">
        <x:v>New knowledge/data page; prepare only after editorial workflow is approved.</x:v>
      </x:c>
    </x:row>
    <x:row r="40" ht="42" customHeight="1">
      <x:c r="A40" s="50" t="str">
        <x:v>ICH-ENG-031</x:v>
      </x:c>
      <x:c r="B40" s="30" t="str">
        <x:v>Knowledge/data page</x:v>
      </x:c>
      <x:c r="C40" s="53" t="str">
        <x:v>Engineering</x:v>
      </x:c>
      <x:c r="D40" s="30" t="str">
        <x:v>Mechanical Engineering and Fabrication</x:v>
      </x:c>
      <x:c r="E40" s="30" t="str">
        <x:v>Mechanics of Materials</x:v>
      </x:c>
      <x:c r="F40" s="30" t="str">
        <x:v>Stress and Strain</x:v>
      </x:c>
      <x:c r="G40" s="30" t="str">
        <x:v>Stress, Strain, Elasticity and Plasticity</x:v>
      </x:c>
      <x:c r="H40" s="30" t="str">
        <x:v>Engineering &gt; Mechanical Engineering and Fabrication &gt; Mechanics of Materials &gt; Stress and Strain &gt; Stress, Strain, Elasticity and Plasticity</x:v>
      </x:c>
      <x:c r="I40" s="30" t="str">
        <x:v>—</x:v>
      </x:c>
      <x:c r="J40" s="30" t="str">
        <x:v>Planned — not started</x:v>
      </x:c>
      <x:c r="K40" s="30" t="str">
        <x:v>Engineering knowledge page</x:v>
      </x:c>
      <x:c r="L40" s="30" t="str">
        <x:v>Pending URL standard</x:v>
      </x:c>
      <x:c r="M40" s="30" t="str">
        <x:v>ENG.stress_strain_elasticity_and_plasticity</x:v>
      </x:c>
      <x:c r="N40" s="30" t="str">
        <x:v>Required: principle schematic or formula diagram</x:v>
      </x:c>
      <x:c r="O40" s="30" t="str">
        <x:v>Per frozen page-format standard</x:v>
      </x:c>
      <x:c r="P40" s="30" t="str">
        <x:v>Fundamental textbooks only — assign before drafting</x:v>
      </x:c>
      <x:c r="Q40" s="30" t="str">
        <x:v>Not started</x:v>
      </x:c>
      <x:c r="R40" s="30" t="str">
        <x:v>Not published</x:v>
      </x:c>
      <x:c r="S40" s="31" t="str">
        <x:v>New knowledge/data page; prepare only after editorial workflow is approved.</x:v>
      </x:c>
    </x:row>
    <x:row r="41" ht="42" customHeight="1">
      <x:c r="A41" s="50" t="str">
        <x:v>ICH-ENG-032</x:v>
      </x:c>
      <x:c r="B41" s="30" t="str">
        <x:v>Knowledge/data page</x:v>
      </x:c>
      <x:c r="C41" s="53" t="str">
        <x:v>Engineering</x:v>
      </x:c>
      <x:c r="D41" s="30" t="str">
        <x:v>Mechanical Engineering and Fabrication</x:v>
      </x:c>
      <x:c r="E41" s="30" t="str">
        <x:v>Mechanics of Materials</x:v>
      </x:c>
      <x:c r="F41" s="30" t="str">
        <x:v>Strength and Serviceability</x:v>
      </x:c>
      <x:c r="G41" s="30" t="str">
        <x:v>Factor of Safety, Deflection and Allowable Stress Basics</x:v>
      </x:c>
      <x:c r="H41" s="30" t="str">
        <x:v>Engineering &gt; Mechanical Engineering and Fabrication &gt; Mechanics of Materials &gt; Strength and Serviceability &gt; Factor of Safety, Deflection and Allowable Stress Basics</x:v>
      </x:c>
      <x:c r="I41" s="30" t="str">
        <x:v>—</x:v>
      </x:c>
      <x:c r="J41" s="30" t="str">
        <x:v>Planned — not started</x:v>
      </x:c>
      <x:c r="K41" s="30" t="str">
        <x:v>Engineering knowledge page</x:v>
      </x:c>
      <x:c r="L41" s="30" t="str">
        <x:v>Pending URL standard</x:v>
      </x:c>
      <x:c r="M41" s="30" t="str">
        <x:v>ENG.factor_of_safety_deflection_and_allowable_stress_basics</x:v>
      </x:c>
      <x:c r="N41" s="30" t="str">
        <x:v>Required: principle schematic or formula diagram</x:v>
      </x:c>
      <x:c r="O41" s="30" t="str">
        <x:v>Per frozen page-format standard</x:v>
      </x:c>
      <x:c r="P41" s="30" t="str">
        <x:v>Fundamental textbooks only — assign before drafting</x:v>
      </x:c>
      <x:c r="Q41" s="30" t="str">
        <x:v>Not started</x:v>
      </x:c>
      <x:c r="R41" s="30" t="str">
        <x:v>Not published</x:v>
      </x:c>
      <x:c r="S41" s="31" t="str">
        <x:v>New knowledge/data page; prepare only after editorial workflow is approved.</x:v>
      </x:c>
    </x:row>
    <x:row r="42" ht="42" customHeight="1">
      <x:c r="A42" s="50" t="str">
        <x:v>ICH-ENG-033</x:v>
      </x:c>
      <x:c r="B42" s="30" t="str">
        <x:v>Knowledge/data page</x:v>
      </x:c>
      <x:c r="C42" s="53" t="str">
        <x:v>Engineering</x:v>
      </x:c>
      <x:c r="D42" s="30" t="str">
        <x:v>Mechanical Engineering and Fabrication</x:v>
      </x:c>
      <x:c r="E42" s="30" t="str">
        <x:v>Static Equipment Design</x:v>
      </x:c>
      <x:c r="F42" s="30" t="str">
        <x:v>Pressure Vessels</x:v>
      </x:c>
      <x:c r="G42" s="30" t="str">
        <x:v>Pressure Vessel Design Basics</x:v>
      </x:c>
      <x:c r="H42" s="30" t="str">
        <x:v>Engineering &gt; Mechanical Engineering and Fabrication &gt; Static Equipment Design &gt; Pressure Vessels &gt; Pressure Vessel Design Basics</x:v>
      </x:c>
      <x:c r="I42" s="30" t="str">
        <x:v>pressure-vessel-design-basics.html</x:v>
      </x:c>
      <x:c r="J42" s="30" t="str">
        <x:v>Existing — review/restructure</x:v>
      </x:c>
      <x:c r="K42" s="30" t="str">
        <x:v>Engineering knowledge page</x:v>
      </x:c>
      <x:c r="L42" s="30" t="str">
        <x:v>Pending URL standard</x:v>
      </x:c>
      <x:c r="M42" s="30" t="str">
        <x:v>ENG.pressure_vessel_design_basics</x:v>
      </x:c>
      <x:c r="N42" s="30" t="str">
        <x:v>Required: principle schematic or formula diagram</x:v>
      </x:c>
      <x:c r="O42" s="30" t="str">
        <x:v>Per frozen page-format standard</x:v>
      </x:c>
      <x:c r="P42" s="30" t="str">
        <x:v>Fundamental textbooks only — assign before drafting</x:v>
      </x:c>
      <x:c r="Q42" s="30" t="str">
        <x:v>Audit existing page</x:v>
      </x:c>
      <x:c r="R42" s="30" t="str">
        <x:v>Existing — review/restructure</x:v>
      </x:c>
      <x:c r="S42" s="31" t="str">
        <x:v>Existing page requires format, links, references and visual audit.</x:v>
      </x:c>
    </x:row>
    <x:row r="43" ht="42" customHeight="1">
      <x:c r="A43" s="50" t="str">
        <x:v>ICH-ENG-034</x:v>
      </x:c>
      <x:c r="B43" s="30" t="str">
        <x:v>Knowledge/data page</x:v>
      </x:c>
      <x:c r="C43" s="53" t="str">
        <x:v>Engineering</x:v>
      </x:c>
      <x:c r="D43" s="30" t="str">
        <x:v>Mechanical Engineering and Fabrication</x:v>
      </x:c>
      <x:c r="E43" s="30" t="str">
        <x:v>Static Equipment Design</x:v>
      </x:c>
      <x:c r="F43" s="30" t="str">
        <x:v>Storage Tanks</x:v>
      </x:c>
      <x:c r="G43" s="30" t="str">
        <x:v>Industrial Storage Tanks: Types and Components</x:v>
      </x:c>
      <x:c r="H43" s="30" t="str">
        <x:v>Engineering &gt; Mechanical Engineering and Fabrication &gt; Static Equipment Design &gt; Storage Tanks &gt; Industrial Storage Tanks: Types and Components</x:v>
      </x:c>
      <x:c r="I43" s="30" t="str">
        <x:v>—</x:v>
      </x:c>
      <x:c r="J43" s="30" t="str">
        <x:v>Planned — not started</x:v>
      </x:c>
      <x:c r="K43" s="30" t="str">
        <x:v>Engineering knowledge page</x:v>
      </x:c>
      <x:c r="L43" s="30" t="str">
        <x:v>Pending URL standard</x:v>
      </x:c>
      <x:c r="M43" s="30" t="str">
        <x:v>ENG.industrial_storage_tanks_types_and_components</x:v>
      </x:c>
      <x:c r="N43" s="30" t="str">
        <x:v>Required: principle schematic or formula diagram</x:v>
      </x:c>
      <x:c r="O43" s="30" t="str">
        <x:v>Per frozen page-format standard</x:v>
      </x:c>
      <x:c r="P43" s="30" t="str">
        <x:v>Fundamental textbooks only — assign before drafting</x:v>
      </x:c>
      <x:c r="Q43" s="30" t="str">
        <x:v>Not started</x:v>
      </x:c>
      <x:c r="R43" s="30" t="str">
        <x:v>Not published</x:v>
      </x:c>
      <x:c r="S43" s="31" t="str">
        <x:v>New knowledge/data page; prepare only after editorial workflow is approved.</x:v>
      </x:c>
    </x:row>
    <x:row r="44" ht="42" customHeight="1">
      <x:c r="A44" s="50" t="str">
        <x:v>ICH-ENG-035</x:v>
      </x:c>
      <x:c r="B44" s="30" t="str">
        <x:v>Knowledge/data page</x:v>
      </x:c>
      <x:c r="C44" s="53" t="str">
        <x:v>Engineering</x:v>
      </x:c>
      <x:c r="D44" s="30" t="str">
        <x:v>Mechanical Engineering and Fabrication</x:v>
      </x:c>
      <x:c r="E44" s="30" t="str">
        <x:v>Static Equipment Design</x:v>
      </x:c>
      <x:c r="F44" s="30" t="str">
        <x:v>Supports</x:v>
      </x:c>
      <x:c r="G44" s="30" t="str">
        <x:v>Vessel Supports: Skirt, Saddle and Leg Supports</x:v>
      </x:c>
      <x:c r="H44" s="30" t="str">
        <x:v>Engineering &gt; Mechanical Engineering and Fabrication &gt; Static Equipment Design &gt; Supports &gt; Vessel Supports: Skirt, Saddle and Leg Supports</x:v>
      </x:c>
      <x:c r="I44" s="30" t="str">
        <x:v>—</x:v>
      </x:c>
      <x:c r="J44" s="30" t="str">
        <x:v>Planned — not started</x:v>
      </x:c>
      <x:c r="K44" s="30" t="str">
        <x:v>Engineering knowledge page</x:v>
      </x:c>
      <x:c r="L44" s="30" t="str">
        <x:v>Pending URL standard</x:v>
      </x:c>
      <x:c r="M44" s="30" t="str">
        <x:v>ENG.vessel_supports_skirt_saddle_and_leg_supports</x:v>
      </x:c>
      <x:c r="N44" s="30" t="str">
        <x:v>Required: principle schematic or formula diagram</x:v>
      </x:c>
      <x:c r="O44" s="30" t="str">
        <x:v>Per frozen page-format standard</x:v>
      </x:c>
      <x:c r="P44" s="30" t="str">
        <x:v>Fundamental textbooks only — assign before drafting</x:v>
      </x:c>
      <x:c r="Q44" s="30" t="str">
        <x:v>Not started</x:v>
      </x:c>
      <x:c r="R44" s="30" t="str">
        <x:v>Not published</x:v>
      </x:c>
      <x:c r="S44" s="31" t="str">
        <x:v>New knowledge/data page; prepare only after editorial workflow is approved.</x:v>
      </x:c>
    </x:row>
    <x:row r="45" ht="42" customHeight="1">
      <x:c r="A45" s="50" t="str">
        <x:v>ICH-ENG-036</x:v>
      </x:c>
      <x:c r="B45" s="30" t="str">
        <x:v>Knowledge/data page</x:v>
      </x:c>
      <x:c r="C45" s="53" t="str">
        <x:v>Engineering</x:v>
      </x:c>
      <x:c r="D45" s="30" t="str">
        <x:v>Mechanical Engineering and Fabrication</x:v>
      </x:c>
      <x:c r="E45" s="30" t="str">
        <x:v>Rotating Equipment</x:v>
      </x:c>
      <x:c r="F45" s="30" t="str">
        <x:v>Bearings and Shafts</x:v>
      </x:c>
      <x:c r="G45" s="30" t="str">
        <x:v>Shafts, Couplings and Bearings: Fundamentals</x:v>
      </x:c>
      <x:c r="H45" s="30" t="str">
        <x:v>Engineering &gt; Mechanical Engineering and Fabrication &gt; Rotating Equipment &gt; Bearings and Shafts &gt; Shafts, Couplings and Bearings: Fundamentals</x:v>
      </x:c>
      <x:c r="I45" s="30" t="str">
        <x:v>—</x:v>
      </x:c>
      <x:c r="J45" s="30" t="str">
        <x:v>Planned — not started</x:v>
      </x:c>
      <x:c r="K45" s="30" t="str">
        <x:v>Engineering knowledge page</x:v>
      </x:c>
      <x:c r="L45" s="30" t="str">
        <x:v>Pending URL standard</x:v>
      </x:c>
      <x:c r="M45" s="30" t="str">
        <x:v>ENG.shafts_couplings_and_bearings_fundamentals</x:v>
      </x:c>
      <x:c r="N45" s="30" t="str">
        <x:v>Required: principle schematic or formula diagram</x:v>
      </x:c>
      <x:c r="O45" s="30" t="str">
        <x:v>Per frozen page-format standard</x:v>
      </x:c>
      <x:c r="P45" s="30" t="str">
        <x:v>Fundamental textbooks only — assign before drafting</x:v>
      </x:c>
      <x:c r="Q45" s="30" t="str">
        <x:v>Not started</x:v>
      </x:c>
      <x:c r="R45" s="30" t="str">
        <x:v>Not published</x:v>
      </x:c>
      <x:c r="S45" s="31" t="str">
        <x:v>New knowledge/data page; prepare only after editorial workflow is approved.</x:v>
      </x:c>
    </x:row>
    <x:row r="46" ht="42" customHeight="1">
      <x:c r="A46" s="50" t="str">
        <x:v>ICH-ENG-037</x:v>
      </x:c>
      <x:c r="B46" s="30" t="str">
        <x:v>Knowledge/data page</x:v>
      </x:c>
      <x:c r="C46" s="53" t="str">
        <x:v>Engineering</x:v>
      </x:c>
      <x:c r="D46" s="30" t="str">
        <x:v>Mechanical Engineering and Fabrication</x:v>
      </x:c>
      <x:c r="E46" s="30" t="str">
        <x:v>Rotating Equipment</x:v>
      </x:c>
      <x:c r="F46" s="30" t="str">
        <x:v>Vibration</x:v>
      </x:c>
      <x:c r="G46" s="30" t="str">
        <x:v>Machinery Vibration: Causes and Basic Monitoring</x:v>
      </x:c>
      <x:c r="H46" s="30" t="str">
        <x:v>Engineering &gt; Mechanical Engineering and Fabrication &gt; Rotating Equipment &gt; Vibration &gt; Machinery Vibration: Causes and Basic Monitoring</x:v>
      </x:c>
      <x:c r="I46" s="30" t="str">
        <x:v>—</x:v>
      </x:c>
      <x:c r="J46" s="30" t="str">
        <x:v>Planned — not started</x:v>
      </x:c>
      <x:c r="K46" s="30" t="str">
        <x:v>Engineering knowledge page</x:v>
      </x:c>
      <x:c r="L46" s="30" t="str">
        <x:v>Pending URL standard</x:v>
      </x:c>
      <x:c r="M46" s="30" t="str">
        <x:v>ENG.machinery_vibration_causes_and_basic_monitoring</x:v>
      </x:c>
      <x:c r="N46" s="30" t="str">
        <x:v>Required: principle schematic or formula diagram</x:v>
      </x:c>
      <x:c r="O46" s="30" t="str">
        <x:v>Per frozen page-format standard</x:v>
      </x:c>
      <x:c r="P46" s="30" t="str">
        <x:v>Fundamental textbooks only — assign before drafting</x:v>
      </x:c>
      <x:c r="Q46" s="30" t="str">
        <x:v>Not started</x:v>
      </x:c>
      <x:c r="R46" s="30" t="str">
        <x:v>Not published</x:v>
      </x:c>
      <x:c r="S46" s="31" t="str">
        <x:v>New knowledge/data page; prepare only after editorial workflow is approved.</x:v>
      </x:c>
    </x:row>
    <x:row r="47" ht="42" customHeight="1">
      <x:c r="A47" s="50" t="str">
        <x:v>ICH-ENG-038</x:v>
      </x:c>
      <x:c r="B47" s="30" t="str">
        <x:v>Knowledge/data page</x:v>
      </x:c>
      <x:c r="C47" s="53" t="str">
        <x:v>Engineering</x:v>
      </x:c>
      <x:c r="D47" s="30" t="str">
        <x:v>Mechanical Engineering and Fabrication</x:v>
      </x:c>
      <x:c r="E47" s="30" t="str">
        <x:v>Fabrication</x:v>
      </x:c>
      <x:c r="F47" s="30" t="str">
        <x:v>Plate Work</x:v>
      </x:c>
      <x:c r="G47" s="30" t="str">
        <x:v>Plate Fabrication, Rolling and Forming Basics</x:v>
      </x:c>
      <x:c r="H47" s="30" t="str">
        <x:v>Engineering &gt; Mechanical Engineering and Fabrication &gt; Fabrication &gt; Plate Work &gt; Plate Fabrication, Rolling and Forming Basics</x:v>
      </x:c>
      <x:c r="I47" s="30" t="str">
        <x:v>—</x:v>
      </x:c>
      <x:c r="J47" s="30" t="str">
        <x:v>Planned — not started</x:v>
      </x:c>
      <x:c r="K47" s="30" t="str">
        <x:v>Engineering knowledge page</x:v>
      </x:c>
      <x:c r="L47" s="30" t="str">
        <x:v>Pending URL standard</x:v>
      </x:c>
      <x:c r="M47" s="30" t="str">
        <x:v>ENG.plate_fabrication_rolling_and_forming_basics</x:v>
      </x:c>
      <x:c r="N47" s="30" t="str">
        <x:v>Required: principle schematic or formula diagram</x:v>
      </x:c>
      <x:c r="O47" s="30" t="str">
        <x:v>Per frozen page-format standard</x:v>
      </x:c>
      <x:c r="P47" s="30" t="str">
        <x:v>Fundamental textbooks only — assign before drafting</x:v>
      </x:c>
      <x:c r="Q47" s="30" t="str">
        <x:v>Not started</x:v>
      </x:c>
      <x:c r="R47" s="30" t="str">
        <x:v>Not published</x:v>
      </x:c>
      <x:c r="S47" s="31" t="str">
        <x:v>New knowledge/data page; prepare only after editorial workflow is approved.</x:v>
      </x:c>
    </x:row>
    <x:row r="48" ht="42" customHeight="1">
      <x:c r="A48" s="50" t="str">
        <x:v>ICH-ENG-039</x:v>
      </x:c>
      <x:c r="B48" s="30" t="str">
        <x:v>Knowledge/data page</x:v>
      </x:c>
      <x:c r="C48" s="53" t="str">
        <x:v>Engineering</x:v>
      </x:c>
      <x:c r="D48" s="30" t="str">
        <x:v>Mechanical Engineering and Fabrication</x:v>
      </x:c>
      <x:c r="E48" s="30" t="str">
        <x:v>Fabrication</x:v>
      </x:c>
      <x:c r="F48" s="30" t="str">
        <x:v>Welding</x:v>
      </x:c>
      <x:c r="G48" s="30" t="str">
        <x:v>Welding Processes, Joints and Weld Defects</x:v>
      </x:c>
      <x:c r="H48" s="30" t="str">
        <x:v>Engineering &gt; Mechanical Engineering and Fabrication &gt; Fabrication &gt; Welding &gt; Welding Processes, Joints and Weld Defects</x:v>
      </x:c>
      <x:c r="I48" s="30" t="str">
        <x:v>—</x:v>
      </x:c>
      <x:c r="J48" s="30" t="str">
        <x:v>Planned — not started</x:v>
      </x:c>
      <x:c r="K48" s="30" t="str">
        <x:v>Engineering knowledge page</x:v>
      </x:c>
      <x:c r="L48" s="30" t="str">
        <x:v>Pending URL standard</x:v>
      </x:c>
      <x:c r="M48" s="30" t="str">
        <x:v>ENG.welding_processes_joints_and_weld_defects</x:v>
      </x:c>
      <x:c r="N48" s="30" t="str">
        <x:v>Required: principle schematic or formula diagram</x:v>
      </x:c>
      <x:c r="O48" s="30" t="str">
        <x:v>Per frozen page-format standard</x:v>
      </x:c>
      <x:c r="P48" s="30" t="str">
        <x:v>Fundamental textbooks only — assign before drafting</x:v>
      </x:c>
      <x:c r="Q48" s="30" t="str">
        <x:v>Not started</x:v>
      </x:c>
      <x:c r="R48" s="30" t="str">
        <x:v>Not published</x:v>
      </x:c>
      <x:c r="S48" s="31" t="str">
        <x:v>New knowledge/data page; prepare only after editorial workflow is approved.</x:v>
      </x:c>
    </x:row>
    <x:row r="49" ht="42" customHeight="1">
      <x:c r="A49" s="50" t="str">
        <x:v>ICH-ENG-040</x:v>
      </x:c>
      <x:c r="B49" s="30" t="str">
        <x:v>Knowledge/data page</x:v>
      </x:c>
      <x:c r="C49" s="53" t="str">
        <x:v>Engineering</x:v>
      </x:c>
      <x:c r="D49" s="30" t="str">
        <x:v>Mechanical Engineering and Fabrication</x:v>
      </x:c>
      <x:c r="E49" s="30" t="str">
        <x:v>Fabrication</x:v>
      </x:c>
      <x:c r="F49" s="30" t="str">
        <x:v>Estimation</x:v>
      </x:c>
      <x:c r="G49" s="30" t="str">
        <x:v>Fabrication Weight Estimation and Bill of Materials Basics</x:v>
      </x:c>
      <x:c r="H49" s="30" t="str">
        <x:v>Engineering &gt; Mechanical Engineering and Fabrication &gt; Fabrication &gt; Estimation &gt; Fabrication Weight Estimation and Bill of Materials Basics</x:v>
      </x:c>
      <x:c r="I49" s="30" t="str">
        <x:v>—</x:v>
      </x:c>
      <x:c r="J49" s="30" t="str">
        <x:v>Planned — not started</x:v>
      </x:c>
      <x:c r="K49" s="30" t="str">
        <x:v>Engineering knowledge page</x:v>
      </x:c>
      <x:c r="L49" s="30" t="str">
        <x:v>Pending URL standard</x:v>
      </x:c>
      <x:c r="M49" s="30" t="str">
        <x:v>ENG.fabrication_weight_estimation_and_bill_of_materials_basics</x:v>
      </x:c>
      <x:c r="N49" s="30" t="str">
        <x:v>Required: principle schematic or formula diagram</x:v>
      </x:c>
      <x:c r="O49" s="30" t="str">
        <x:v>Per frozen page-format standard</x:v>
      </x:c>
      <x:c r="P49" s="30" t="str">
        <x:v>Fundamental textbooks only — assign before drafting</x:v>
      </x:c>
      <x:c r="Q49" s="30" t="str">
        <x:v>Not started</x:v>
      </x:c>
      <x:c r="R49" s="30" t="str">
        <x:v>Not published</x:v>
      </x:c>
      <x:c r="S49" s="31" t="str">
        <x:v>New knowledge/data page; prepare only after editorial workflow is approved.</x:v>
      </x:c>
    </x:row>
    <x:row r="50" ht="42" customHeight="1">
      <x:c r="A50" s="50" t="str">
        <x:v>ICH-ENG-041</x:v>
      </x:c>
      <x:c r="B50" s="30" t="str">
        <x:v>Knowledge/data page</x:v>
      </x:c>
      <x:c r="C50" s="53" t="str">
        <x:v>Engineering</x:v>
      </x:c>
      <x:c r="D50" s="30" t="str">
        <x:v>Process Engineering and Industrial Utilities</x:v>
      </x:c>
      <x:c r="E50" s="30" t="str">
        <x:v>Process Fundamentals</x:v>
      </x:c>
      <x:c r="F50" s="30" t="str">
        <x:v>Material Balance</x:v>
      </x:c>
      <x:c r="G50" s="30" t="str">
        <x:v>Material Balance: Fundamental Method and Examples</x:v>
      </x:c>
      <x:c r="H50" s="30" t="str">
        <x:v>Engineering &gt; Process Engineering and Industrial Utilities &gt; Process Fundamentals &gt; Material Balance &gt; Material Balance: Fundamental Method and Examples</x:v>
      </x:c>
      <x:c r="I50" s="30" t="str">
        <x:v>—</x:v>
      </x:c>
      <x:c r="J50" s="30" t="str">
        <x:v>Planned — not started</x:v>
      </x:c>
      <x:c r="K50" s="30" t="str">
        <x:v>Engineering knowledge page</x:v>
      </x:c>
      <x:c r="L50" s="30" t="str">
        <x:v>Pending URL standard</x:v>
      </x:c>
      <x:c r="M50" s="30" t="str">
        <x:v>ENG.material_balance_fundamental_method_and_examples</x:v>
      </x:c>
      <x:c r="N50" s="30" t="str">
        <x:v>Required: principle schematic or formula diagram</x:v>
      </x:c>
      <x:c r="O50" s="30" t="str">
        <x:v>Per frozen page-format standard</x:v>
      </x:c>
      <x:c r="P50" s="30" t="str">
        <x:v>Fundamental textbooks only — assign before drafting</x:v>
      </x:c>
      <x:c r="Q50" s="30" t="str">
        <x:v>Not started</x:v>
      </x:c>
      <x:c r="R50" s="30" t="str">
        <x:v>Not published</x:v>
      </x:c>
      <x:c r="S50" s="31" t="str">
        <x:v>New knowledge/data page; prepare only after editorial workflow is approved.</x:v>
      </x:c>
    </x:row>
    <x:row r="51" ht="42" customHeight="1">
      <x:c r="A51" s="50" t="str">
        <x:v>ICH-ENG-042</x:v>
      </x:c>
      <x:c r="B51" s="30" t="str">
        <x:v>Knowledge/data page</x:v>
      </x:c>
      <x:c r="C51" s="53" t="str">
        <x:v>Engineering</x:v>
      </x:c>
      <x:c r="D51" s="30" t="str">
        <x:v>Process Engineering and Industrial Utilities</x:v>
      </x:c>
      <x:c r="E51" s="30" t="str">
        <x:v>Process Fundamentals</x:v>
      </x:c>
      <x:c r="F51" s="30" t="str">
        <x:v>Energy Balance</x:v>
      </x:c>
      <x:c r="G51" s="30" t="str">
        <x:v>Energy Balance: Fundamental Method and Examples</x:v>
      </x:c>
      <x:c r="H51" s="30" t="str">
        <x:v>Engineering &gt; Process Engineering and Industrial Utilities &gt; Process Fundamentals &gt; Energy Balance &gt; Energy Balance: Fundamental Method and Examples</x:v>
      </x:c>
      <x:c r="I51" s="30" t="str">
        <x:v>—</x:v>
      </x:c>
      <x:c r="J51" s="30" t="str">
        <x:v>Planned — not started</x:v>
      </x:c>
      <x:c r="K51" s="30" t="str">
        <x:v>Engineering knowledge page</x:v>
      </x:c>
      <x:c r="L51" s="30" t="str">
        <x:v>Pending URL standard</x:v>
      </x:c>
      <x:c r="M51" s="30" t="str">
        <x:v>ENG.energy_balance_fundamental_method_and_examples</x:v>
      </x:c>
      <x:c r="N51" s="30" t="str">
        <x:v>Required: principle schematic or formula diagram</x:v>
      </x:c>
      <x:c r="O51" s="30" t="str">
        <x:v>Per frozen page-format standard</x:v>
      </x:c>
      <x:c r="P51" s="30" t="str">
        <x:v>Fundamental textbooks only — assign before drafting</x:v>
      </x:c>
      <x:c r="Q51" s="30" t="str">
        <x:v>Not started</x:v>
      </x:c>
      <x:c r="R51" s="30" t="str">
        <x:v>Not published</x:v>
      </x:c>
      <x:c r="S51" s="31" t="str">
        <x:v>New knowledge/data page; prepare only after editorial workflow is approved.</x:v>
      </x:c>
    </x:row>
    <x:row r="52" ht="42" customHeight="1">
      <x:c r="A52" s="50" t="str">
        <x:v>ICH-ENG-043</x:v>
      </x:c>
      <x:c r="B52" s="30" t="str">
        <x:v>Knowledge/data page</x:v>
      </x:c>
      <x:c r="C52" s="53" t="str">
        <x:v>Engineering</x:v>
      </x:c>
      <x:c r="D52" s="30" t="str">
        <x:v>Process Engineering and Industrial Utilities</x:v>
      </x:c>
      <x:c r="E52" s="30" t="str">
        <x:v>Process Fundamentals</x:v>
      </x:c>
      <x:c r="F52" s="30" t="str">
        <x:v>Process Documents</x:v>
      </x:c>
      <x:c r="G52" s="30" t="str">
        <x:v>PFD and P&amp;ID: Purpose, Difference and Basic Symbols</x:v>
      </x:c>
      <x:c r="H52" s="30" t="str">
        <x:v>Engineering &gt; Process Engineering and Industrial Utilities &gt; Process Fundamentals &gt; Process Documents &gt; PFD and P&amp;ID: Purpose, Difference and Basic Symbols</x:v>
      </x:c>
      <x:c r="I52" s="30" t="str">
        <x:v>—</x:v>
      </x:c>
      <x:c r="J52" s="30" t="str">
        <x:v>Planned — not started</x:v>
      </x:c>
      <x:c r="K52" s="30" t="str">
        <x:v>Engineering knowledge page</x:v>
      </x:c>
      <x:c r="L52" s="30" t="str">
        <x:v>Pending URL standard</x:v>
      </x:c>
      <x:c r="M52" s="30" t="str">
        <x:v>ENG.pfd_and_pandid_purpose_difference_and_basic_symbols</x:v>
      </x:c>
      <x:c r="N52" s="30" t="str">
        <x:v>Required: principle schematic or formula diagram</x:v>
      </x:c>
      <x:c r="O52" s="30" t="str">
        <x:v>Per frozen page-format standard</x:v>
      </x:c>
      <x:c r="P52" s="30" t="str">
        <x:v>Fundamental textbooks only — assign before drafting</x:v>
      </x:c>
      <x:c r="Q52" s="30" t="str">
        <x:v>Not started</x:v>
      </x:c>
      <x:c r="R52" s="30" t="str">
        <x:v>Not published</x:v>
      </x:c>
      <x:c r="S52" s="31" t="str">
        <x:v>New knowledge/data page; prepare only after editorial workflow is approved.</x:v>
      </x:c>
    </x:row>
    <x:row r="53" ht="42" customHeight="1">
      <x:c r="A53" s="50" t="str">
        <x:v>ICH-ENG-044</x:v>
      </x:c>
      <x:c r="B53" s="30" t="str">
        <x:v>Knowledge/data page</x:v>
      </x:c>
      <x:c r="C53" s="53" t="str">
        <x:v>Engineering</x:v>
      </x:c>
      <x:c r="D53" s="30" t="str">
        <x:v>Process Engineering and Industrial Utilities</x:v>
      </x:c>
      <x:c r="E53" s="30" t="str">
        <x:v>Unit Operations</x:v>
      </x:c>
      <x:c r="F53" s="30" t="str">
        <x:v>Filtration</x:v>
      </x:c>
      <x:c r="G53" s="30" t="str">
        <x:v>Filtration: Principle, Equipment and Applications</x:v>
      </x:c>
      <x:c r="H53" s="30" t="str">
        <x:v>Engineering &gt; Process Engineering and Industrial Utilities &gt; Unit Operations &gt; Filtration &gt; Filtration: Principle, Equipment and Applications</x:v>
      </x:c>
      <x:c r="I53" s="30" t="str">
        <x:v>—</x:v>
      </x:c>
      <x:c r="J53" s="30" t="str">
        <x:v>Planned — not started</x:v>
      </x:c>
      <x:c r="K53" s="30" t="str">
        <x:v>Engineering knowledge page</x:v>
      </x:c>
      <x:c r="L53" s="30" t="str">
        <x:v>Pending URL standard</x:v>
      </x:c>
      <x:c r="M53" s="30" t="str">
        <x:v>ENG.filtration_principle_equipment_and_applications</x:v>
      </x:c>
      <x:c r="N53" s="30" t="str">
        <x:v>Required: principle schematic or formula diagram</x:v>
      </x:c>
      <x:c r="O53" s="30" t="str">
        <x:v>Per frozen page-format standard</x:v>
      </x:c>
      <x:c r="P53" s="30" t="str">
        <x:v>Fundamental textbooks only — assign before drafting</x:v>
      </x:c>
      <x:c r="Q53" s="30" t="str">
        <x:v>Not started</x:v>
      </x:c>
      <x:c r="R53" s="30" t="str">
        <x:v>Not published</x:v>
      </x:c>
      <x:c r="S53" s="31" t="str">
        <x:v>New knowledge/data page; prepare only after editorial workflow is approved.</x:v>
      </x:c>
    </x:row>
    <x:row r="54" ht="42" customHeight="1">
      <x:c r="A54" s="50" t="str">
        <x:v>ICH-ENG-045</x:v>
      </x:c>
      <x:c r="B54" s="30" t="str">
        <x:v>Knowledge/data page</x:v>
      </x:c>
      <x:c r="C54" s="53" t="str">
        <x:v>Engineering</x:v>
      </x:c>
      <x:c r="D54" s="30" t="str">
        <x:v>Process Engineering and Industrial Utilities</x:v>
      </x:c>
      <x:c r="E54" s="30" t="str">
        <x:v>Unit Operations</x:v>
      </x:c>
      <x:c r="F54" s="30" t="str">
        <x:v>Drying</x:v>
      </x:c>
      <x:c r="G54" s="30" t="str">
        <x:v>Industrial Drying: Principle and Equipment Types</x:v>
      </x:c>
      <x:c r="H54" s="30" t="str">
        <x:v>Engineering &gt; Process Engineering and Industrial Utilities &gt; Unit Operations &gt; Drying &gt; Industrial Drying: Principle and Equipment Types</x:v>
      </x:c>
      <x:c r="I54" s="30" t="str">
        <x:v>—</x:v>
      </x:c>
      <x:c r="J54" s="30" t="str">
        <x:v>Planned — not started</x:v>
      </x:c>
      <x:c r="K54" s="30" t="str">
        <x:v>Engineering knowledge page</x:v>
      </x:c>
      <x:c r="L54" s="30" t="str">
        <x:v>Pending URL standard</x:v>
      </x:c>
      <x:c r="M54" s="30" t="str">
        <x:v>ENG.industrial_drying_principle_and_equipment_types</x:v>
      </x:c>
      <x:c r="N54" s="30" t="str">
        <x:v>Required: principle schematic or formula diagram</x:v>
      </x:c>
      <x:c r="O54" s="30" t="str">
        <x:v>Per frozen page-format standard</x:v>
      </x:c>
      <x:c r="P54" s="30" t="str">
        <x:v>Fundamental textbooks only — assign before drafting</x:v>
      </x:c>
      <x:c r="Q54" s="30" t="str">
        <x:v>Not started</x:v>
      </x:c>
      <x:c r="R54" s="30" t="str">
        <x:v>Not published</x:v>
      </x:c>
      <x:c r="S54" s="31" t="str">
        <x:v>New knowledge/data page; prepare only after editorial workflow is approved.</x:v>
      </x:c>
    </x:row>
    <x:row r="55" ht="42" customHeight="1">
      <x:c r="A55" s="50" t="str">
        <x:v>ICH-ENG-046</x:v>
      </x:c>
      <x:c r="B55" s="30" t="str">
        <x:v>Knowledge/data page</x:v>
      </x:c>
      <x:c r="C55" s="53" t="str">
        <x:v>Engineering</x:v>
      </x:c>
      <x:c r="D55" s="30" t="str">
        <x:v>Process Engineering and Industrial Utilities</x:v>
      </x:c>
      <x:c r="E55" s="30" t="str">
        <x:v>Unit Operations</x:v>
      </x:c>
      <x:c r="F55" s="30" t="str">
        <x:v>Separation</x:v>
      </x:c>
      <x:c r="G55" s="30" t="str">
        <x:v>Distillation, Evaporation and Separation Basics</x:v>
      </x:c>
      <x:c r="H55" s="30" t="str">
        <x:v>Engineering &gt; Process Engineering and Industrial Utilities &gt; Unit Operations &gt; Separation &gt; Distillation, Evaporation and Separation Basics</x:v>
      </x:c>
      <x:c r="I55" s="30" t="str">
        <x:v>—</x:v>
      </x:c>
      <x:c r="J55" s="30" t="str">
        <x:v>Planned — not started</x:v>
      </x:c>
      <x:c r="K55" s="30" t="str">
        <x:v>Engineering knowledge page</x:v>
      </x:c>
      <x:c r="L55" s="30" t="str">
        <x:v>Pending URL standard</x:v>
      </x:c>
      <x:c r="M55" s="30" t="str">
        <x:v>ENG.distillation_evaporation_and_separation_basics</x:v>
      </x:c>
      <x:c r="N55" s="30" t="str">
        <x:v>Required: principle schematic or formula diagram</x:v>
      </x:c>
      <x:c r="O55" s="30" t="str">
        <x:v>Per frozen page-format standard</x:v>
      </x:c>
      <x:c r="P55" s="30" t="str">
        <x:v>Fundamental textbooks only — assign before drafting</x:v>
      </x:c>
      <x:c r="Q55" s="30" t="str">
        <x:v>Not started</x:v>
      </x:c>
      <x:c r="R55" s="30" t="str">
        <x:v>Not published</x:v>
      </x:c>
      <x:c r="S55" s="31" t="str">
        <x:v>New knowledge/data page; prepare only after editorial workflow is approved.</x:v>
      </x:c>
    </x:row>
    <x:row r="56" ht="42" customHeight="1">
      <x:c r="A56" s="50" t="str">
        <x:v>ICH-ENG-047</x:v>
      </x:c>
      <x:c r="B56" s="30" t="str">
        <x:v>Knowledge/data page</x:v>
      </x:c>
      <x:c r="C56" s="53" t="str">
        <x:v>Engineering</x:v>
      </x:c>
      <x:c r="D56" s="30" t="str">
        <x:v>Process Engineering and Industrial Utilities</x:v>
      </x:c>
      <x:c r="E56" s="30" t="str">
        <x:v>Industrial Utilities</x:v>
      </x:c>
      <x:c r="F56" s="30" t="str">
        <x:v>Compressed Air</x:v>
      </x:c>
      <x:c r="G56" s="30" t="str">
        <x:v>Compressed Air System: Generation, Distribution and Uses</x:v>
      </x:c>
      <x:c r="H56" s="30" t="str">
        <x:v>Engineering &gt; Process Engineering and Industrial Utilities &gt; Industrial Utilities &gt; Compressed Air &gt; Compressed Air System: Generation, Distribution and Uses</x:v>
      </x:c>
      <x:c r="I56" s="30" t="str">
        <x:v>—</x:v>
      </x:c>
      <x:c r="J56" s="30" t="str">
        <x:v>Planned — not started</x:v>
      </x:c>
      <x:c r="K56" s="30" t="str">
        <x:v>Engineering knowledge page</x:v>
      </x:c>
      <x:c r="L56" s="30" t="str">
        <x:v>Pending URL standard</x:v>
      </x:c>
      <x:c r="M56" s="30" t="str">
        <x:v>ENG.compressed_air_system_generation_distribution_and_uses</x:v>
      </x:c>
      <x:c r="N56" s="30" t="str">
        <x:v>Required: principle schematic or formula diagram</x:v>
      </x:c>
      <x:c r="O56" s="30" t="str">
        <x:v>Per frozen page-format standard</x:v>
      </x:c>
      <x:c r="P56" s="30" t="str">
        <x:v>Fundamental textbooks only — assign before drafting</x:v>
      </x:c>
      <x:c r="Q56" s="30" t="str">
        <x:v>Not started</x:v>
      </x:c>
      <x:c r="R56" s="30" t="str">
        <x:v>Not published</x:v>
      </x:c>
      <x:c r="S56" s="31" t="str">
        <x:v>New knowledge/data page; prepare only after editorial workflow is approved.</x:v>
      </x:c>
    </x:row>
    <x:row r="57" ht="42" customHeight="1">
      <x:c r="A57" s="50" t="str">
        <x:v>ICH-ENG-048</x:v>
      </x:c>
      <x:c r="B57" s="30" t="str">
        <x:v>Knowledge/data page</x:v>
      </x:c>
      <x:c r="C57" s="53" t="str">
        <x:v>Engineering</x:v>
      </x:c>
      <x:c r="D57" s="30" t="str">
        <x:v>Process Engineering and Industrial Utilities</x:v>
      </x:c>
      <x:c r="E57" s="30" t="str">
        <x:v>Industrial Utilities</x:v>
      </x:c>
      <x:c r="F57" s="30" t="str">
        <x:v>Cooling Water</x:v>
      </x:c>
      <x:c r="G57" s="30" t="str">
        <x:v>Cooling Water System: Components and Operation</x:v>
      </x:c>
      <x:c r="H57" s="30" t="str">
        <x:v>Engineering &gt; Process Engineering and Industrial Utilities &gt; Industrial Utilities &gt; Cooling Water &gt; Cooling Water System: Components and Operation</x:v>
      </x:c>
      <x:c r="I57" s="30" t="str">
        <x:v>—</x:v>
      </x:c>
      <x:c r="J57" s="30" t="str">
        <x:v>Planned — not started</x:v>
      </x:c>
      <x:c r="K57" s="30" t="str">
        <x:v>Engineering knowledge page</x:v>
      </x:c>
      <x:c r="L57" s="30" t="str">
        <x:v>Pending URL standard</x:v>
      </x:c>
      <x:c r="M57" s="30" t="str">
        <x:v>ENG.cooling_water_system_components_and_operation</x:v>
      </x:c>
      <x:c r="N57" s="30" t="str">
        <x:v>Required: principle schematic or formula diagram</x:v>
      </x:c>
      <x:c r="O57" s="30" t="str">
        <x:v>Per frozen page-format standard</x:v>
      </x:c>
      <x:c r="P57" s="30" t="str">
        <x:v>Fundamental textbooks only — assign before drafting</x:v>
      </x:c>
      <x:c r="Q57" s="30" t="str">
        <x:v>Not started</x:v>
      </x:c>
      <x:c r="R57" s="30" t="str">
        <x:v>Not published</x:v>
      </x:c>
      <x:c r="S57" s="31" t="str">
        <x:v>New knowledge/data page; prepare only after editorial workflow is approved.</x:v>
      </x:c>
    </x:row>
    <x:row r="58" ht="42" customHeight="1">
      <x:c r="A58" s="50" t="str">
        <x:v>ICH-ENG-049</x:v>
      </x:c>
      <x:c r="B58" s="30" t="str">
        <x:v>Knowledge/data page</x:v>
      </x:c>
      <x:c r="C58" s="53" t="str">
        <x:v>Engineering</x:v>
      </x:c>
      <x:c r="D58" s="30" t="str">
        <x:v>Process Engineering and Industrial Utilities</x:v>
      </x:c>
      <x:c r="E58" s="30" t="str">
        <x:v>Industrial Utilities</x:v>
      </x:c>
      <x:c r="F58" s="30" t="str">
        <x:v>Fuel Systems</x:v>
      </x:c>
      <x:c r="G58" s="30" t="str">
        <x:v>Coal, Oil and Gas Fuel Handling Basics</x:v>
      </x:c>
      <x:c r="H58" s="30" t="str">
        <x:v>Engineering &gt; Process Engineering and Industrial Utilities &gt; Industrial Utilities &gt; Fuel Systems &gt; Coal, Oil and Gas Fuel Handling Basics</x:v>
      </x:c>
      <x:c r="I58" s="30" t="str">
        <x:v>—</x:v>
      </x:c>
      <x:c r="J58" s="30" t="str">
        <x:v>Planned — not started</x:v>
      </x:c>
      <x:c r="K58" s="30" t="str">
        <x:v>Engineering knowledge page</x:v>
      </x:c>
      <x:c r="L58" s="30" t="str">
        <x:v>Pending URL standard</x:v>
      </x:c>
      <x:c r="M58" s="30" t="str">
        <x:v>ENG.coal_oil_and_gas_fuel_handling_basics</x:v>
      </x:c>
      <x:c r="N58" s="30" t="str">
        <x:v>Required: principle schematic or formula diagram</x:v>
      </x:c>
      <x:c r="O58" s="30" t="str">
        <x:v>Per frozen page-format standard</x:v>
      </x:c>
      <x:c r="P58" s="30" t="str">
        <x:v>Fundamental textbooks only — assign before drafting</x:v>
      </x:c>
      <x:c r="Q58" s="30" t="str">
        <x:v>Not started</x:v>
      </x:c>
      <x:c r="R58" s="30" t="str">
        <x:v>Not published</x:v>
      </x:c>
      <x:c r="S58" s="31" t="str">
        <x:v>New knowledge/data page; prepare only after editorial workflow is approved.</x:v>
      </x:c>
    </x:row>
    <x:row r="59" ht="42" customHeight="1">
      <x:c r="A59" s="50" t="str">
        <x:v>ICH-ENG-050</x:v>
      </x:c>
      <x:c r="B59" s="30" t="str">
        <x:v>Knowledge/data page</x:v>
      </x:c>
      <x:c r="C59" s="53" t="str">
        <x:v>Engineering</x:v>
      </x:c>
      <x:c r="D59" s="30" t="str">
        <x:v>Structural and Industrial Civil Engineering</x:v>
      </x:c>
      <x:c r="E59" s="30" t="str">
        <x:v>Structural Loads</x:v>
      </x:c>
      <x:c r="F59" s="30" t="str">
        <x:v>Permanent and Imposed Loads</x:v>
      </x:c>
      <x:c r="G59" s="30" t="str">
        <x:v>Dead Load in Industrial Structures</x:v>
      </x:c>
      <x:c r="H59" s="30" t="str">
        <x:v>Engineering &gt; Structural and Industrial Civil Engineering &gt; Structural Loads &gt; Permanent and Imposed Loads &gt; Dead Load in Industrial Structures</x:v>
      </x:c>
      <x:c r="I59" s="30" t="str">
        <x:v>—</x:v>
      </x:c>
      <x:c r="J59" s="30" t="str">
        <x:v>Planned — not started</x:v>
      </x:c>
      <x:c r="K59" s="30" t="str">
        <x:v>Engineering knowledge page</x:v>
      </x:c>
      <x:c r="L59" s="30" t="str">
        <x:v>Pending URL standard</x:v>
      </x:c>
      <x:c r="M59" s="30" t="str">
        <x:v>ENG.dead_load_in_industrial_structures</x:v>
      </x:c>
      <x:c r="N59" s="30" t="str">
        <x:v>Required: principle schematic or formula diagram</x:v>
      </x:c>
      <x:c r="O59" s="30" t="str">
        <x:v>Per frozen page-format standard</x:v>
      </x:c>
      <x:c r="P59" s="30" t="str">
        <x:v>Fundamental textbooks only — assign before drafting</x:v>
      </x:c>
      <x:c r="Q59" s="30" t="str">
        <x:v>Not started</x:v>
      </x:c>
      <x:c r="R59" s="30" t="str">
        <x:v>Not published</x:v>
      </x:c>
      <x:c r="S59" s="31" t="str">
        <x:v>New knowledge/data page; prepare only after editorial workflow is approved.</x:v>
      </x:c>
    </x:row>
    <x:row r="60" ht="42" customHeight="1">
      <x:c r="A60" s="50" t="str">
        <x:v>ICH-ENG-051</x:v>
      </x:c>
      <x:c r="B60" s="30" t="str">
        <x:v>Knowledge/data page</x:v>
      </x:c>
      <x:c r="C60" s="53" t="str">
        <x:v>Engineering</x:v>
      </x:c>
      <x:c r="D60" s="30" t="str">
        <x:v>Structural and Industrial Civil Engineering</x:v>
      </x:c>
      <x:c r="E60" s="30" t="str">
        <x:v>Structural Loads</x:v>
      </x:c>
      <x:c r="F60" s="30" t="str">
        <x:v>Permanent and Imposed Loads</x:v>
      </x:c>
      <x:c r="G60" s="30" t="str">
        <x:v>Live Load in Industrial Structures</x:v>
      </x:c>
      <x:c r="H60" s="30" t="str">
        <x:v>Engineering &gt; Structural and Industrial Civil Engineering &gt; Structural Loads &gt; Permanent and Imposed Loads &gt; Live Load in Industrial Structures</x:v>
      </x:c>
      <x:c r="I60" s="30" t="str">
        <x:v>—</x:v>
      </x:c>
      <x:c r="J60" s="30" t="str">
        <x:v>Planned — not started</x:v>
      </x:c>
      <x:c r="K60" s="30" t="str">
        <x:v>Engineering knowledge page</x:v>
      </x:c>
      <x:c r="L60" s="30" t="str">
        <x:v>Pending URL standard</x:v>
      </x:c>
      <x:c r="M60" s="30" t="str">
        <x:v>ENG.live_load_in_industrial_structures</x:v>
      </x:c>
      <x:c r="N60" s="30" t="str">
        <x:v>Required: principle schematic or formula diagram</x:v>
      </x:c>
      <x:c r="O60" s="30" t="str">
        <x:v>Per frozen page-format standard</x:v>
      </x:c>
      <x:c r="P60" s="30" t="str">
        <x:v>Fundamental textbooks only — assign before drafting</x:v>
      </x:c>
      <x:c r="Q60" s="30" t="str">
        <x:v>Not started</x:v>
      </x:c>
      <x:c r="R60" s="30" t="str">
        <x:v>Not published</x:v>
      </x:c>
      <x:c r="S60" s="31" t="str">
        <x:v>New knowledge/data page; prepare only after editorial workflow is approved.</x:v>
      </x:c>
    </x:row>
    <x:row r="61" ht="42" customHeight="1">
      <x:c r="A61" s="50" t="str">
        <x:v>ICH-ENG-052</x:v>
      </x:c>
      <x:c r="B61" s="30" t="str">
        <x:v>Knowledge/data page</x:v>
      </x:c>
      <x:c r="C61" s="53" t="str">
        <x:v>Engineering</x:v>
      </x:c>
      <x:c r="D61" s="30" t="str">
        <x:v>Structural and Industrial Civil Engineering</x:v>
      </x:c>
      <x:c r="E61" s="30" t="str">
        <x:v>Structural Loads</x:v>
      </x:c>
      <x:c r="F61" s="30" t="str">
        <x:v>Process and Material Loads</x:v>
      </x:c>
      <x:c r="G61" s="30" t="str">
        <x:v>Equipment Load and Dust Accumulation Load</x:v>
      </x:c>
      <x:c r="H61" s="30" t="str">
        <x:v>Engineering &gt; Structural and Industrial Civil Engineering &gt; Structural Loads &gt; Process and Material Loads &gt; Equipment Load and Dust Accumulation Load</x:v>
      </x:c>
      <x:c r="I61" s="30" t="str">
        <x:v>—</x:v>
      </x:c>
      <x:c r="J61" s="30" t="str">
        <x:v>Planned — not started</x:v>
      </x:c>
      <x:c r="K61" s="30" t="str">
        <x:v>Engineering knowledge page</x:v>
      </x:c>
      <x:c r="L61" s="30" t="str">
        <x:v>Pending URL standard</x:v>
      </x:c>
      <x:c r="M61" s="30" t="str">
        <x:v>ENG.equipment_load_and_dust_accumulation_load</x:v>
      </x:c>
      <x:c r="N61" s="30" t="str">
        <x:v>Required: principle schematic or formula diagram</x:v>
      </x:c>
      <x:c r="O61" s="30" t="str">
        <x:v>Per frozen page-format standard</x:v>
      </x:c>
      <x:c r="P61" s="30" t="str">
        <x:v>Fundamental textbooks only — assign before drafting</x:v>
      </x:c>
      <x:c r="Q61" s="30" t="str">
        <x:v>Not started</x:v>
      </x:c>
      <x:c r="R61" s="30" t="str">
        <x:v>Not published</x:v>
      </x:c>
      <x:c r="S61" s="31" t="str">
        <x:v>New knowledge/data page; prepare only after editorial workflow is approved.</x:v>
      </x:c>
    </x:row>
    <x:row r="62" ht="42" customHeight="1">
      <x:c r="A62" s="50" t="str">
        <x:v>ICH-ENG-053</x:v>
      </x:c>
      <x:c r="B62" s="30" t="str">
        <x:v>Knowledge/data page</x:v>
      </x:c>
      <x:c r="C62" s="53" t="str">
        <x:v>Engineering</x:v>
      </x:c>
      <x:c r="D62" s="30" t="str">
        <x:v>Structural and Industrial Civil Engineering</x:v>
      </x:c>
      <x:c r="E62" s="30" t="str">
        <x:v>Structural Loads</x:v>
      </x:c>
      <x:c r="F62" s="30" t="str">
        <x:v>Environmental Loads</x:v>
      </x:c>
      <x:c r="G62" s="30" t="str">
        <x:v>Wind Load: Structural Engineering Fundamentals</x:v>
      </x:c>
      <x:c r="H62" s="30" t="str">
        <x:v>Engineering &gt; Structural and Industrial Civil Engineering &gt; Structural Loads &gt; Environmental Loads &gt; Wind Load: Structural Engineering Fundamentals</x:v>
      </x:c>
      <x:c r="I62" s="30" t="str">
        <x:v>—</x:v>
      </x:c>
      <x:c r="J62" s="30" t="str">
        <x:v>Planned — not started</x:v>
      </x:c>
      <x:c r="K62" s="30" t="str">
        <x:v>Engineering knowledge page</x:v>
      </x:c>
      <x:c r="L62" s="30" t="str">
        <x:v>Pending URL standard</x:v>
      </x:c>
      <x:c r="M62" s="30" t="str">
        <x:v>ENG.wind_load_structural_engineering_fundamentals</x:v>
      </x:c>
      <x:c r="N62" s="30" t="str">
        <x:v>Required: principle schematic or formula diagram</x:v>
      </x:c>
      <x:c r="O62" s="30" t="str">
        <x:v>Per frozen page-format standard</x:v>
      </x:c>
      <x:c r="P62" s="30" t="str">
        <x:v>Fundamental textbooks only — assign before drafting</x:v>
      </x:c>
      <x:c r="Q62" s="30" t="str">
        <x:v>Not started</x:v>
      </x:c>
      <x:c r="R62" s="30" t="str">
        <x:v>Not published</x:v>
      </x:c>
      <x:c r="S62" s="31" t="str">
        <x:v>New knowledge/data page; prepare only after editorial workflow is approved.</x:v>
      </x:c>
    </x:row>
    <x:row r="63" ht="42" customHeight="1">
      <x:c r="A63" s="50" t="str">
        <x:v>ICH-ENG-054</x:v>
      </x:c>
      <x:c r="B63" s="30" t="str">
        <x:v>Knowledge/data page</x:v>
      </x:c>
      <x:c r="C63" s="53" t="str">
        <x:v>Engineering</x:v>
      </x:c>
      <x:c r="D63" s="30" t="str">
        <x:v>Structural and Industrial Civil Engineering</x:v>
      </x:c>
      <x:c r="E63" s="30" t="str">
        <x:v>Structural Loads</x:v>
      </x:c>
      <x:c r="F63" s="30" t="str">
        <x:v>Environmental Loads</x:v>
      </x:c>
      <x:c r="G63" s="30" t="str">
        <x:v>Seismic Load: Structural Engineering Fundamentals</x:v>
      </x:c>
      <x:c r="H63" s="30" t="str">
        <x:v>Engineering &gt; Structural and Industrial Civil Engineering &gt; Structural Loads &gt; Environmental Loads &gt; Seismic Load: Structural Engineering Fundamentals</x:v>
      </x:c>
      <x:c r="I63" s="30" t="str">
        <x:v>—</x:v>
      </x:c>
      <x:c r="J63" s="30" t="str">
        <x:v>Planned — not started</x:v>
      </x:c>
      <x:c r="K63" s="30" t="str">
        <x:v>Engineering knowledge page</x:v>
      </x:c>
      <x:c r="L63" s="30" t="str">
        <x:v>Pending URL standard</x:v>
      </x:c>
      <x:c r="M63" s="30" t="str">
        <x:v>ENG.seismic_load_structural_engineering_fundamentals</x:v>
      </x:c>
      <x:c r="N63" s="30" t="str">
        <x:v>Required: principle schematic or formula diagram</x:v>
      </x:c>
      <x:c r="O63" s="30" t="str">
        <x:v>Per frozen page-format standard</x:v>
      </x:c>
      <x:c r="P63" s="30" t="str">
        <x:v>Fundamental textbooks only — assign before drafting</x:v>
      </x:c>
      <x:c r="Q63" s="30" t="str">
        <x:v>Not started</x:v>
      </x:c>
      <x:c r="R63" s="30" t="str">
        <x:v>Not published</x:v>
      </x:c>
      <x:c r="S63" s="31" t="str">
        <x:v>New knowledge/data page; prepare only after editorial workflow is approved.</x:v>
      </x:c>
    </x:row>
    <x:row r="64" ht="42" customHeight="1">
      <x:c r="A64" s="50" t="str">
        <x:v>ICH-ENG-055</x:v>
      </x:c>
      <x:c r="B64" s="30" t="str">
        <x:v>Knowledge/data page</x:v>
      </x:c>
      <x:c r="C64" s="53" t="str">
        <x:v>Engineering</x:v>
      </x:c>
      <x:c r="D64" s="30" t="str">
        <x:v>Structural and Industrial Civil Engineering</x:v>
      </x:c>
      <x:c r="E64" s="30" t="str">
        <x:v>Steel Structures</x:v>
      </x:c>
      <x:c r="F64" s="30" t="str">
        <x:v>Structural Members</x:v>
      </x:c>
      <x:c r="G64" s="30" t="str">
        <x:v>Steel Beams: Function and Design Basics</x:v>
      </x:c>
      <x:c r="H64" s="30" t="str">
        <x:v>Engineering &gt; Structural and Industrial Civil Engineering &gt; Steel Structures &gt; Structural Members &gt; Steel Beams: Function and Design Basics</x:v>
      </x:c>
      <x:c r="I64" s="30" t="str">
        <x:v>—</x:v>
      </x:c>
      <x:c r="J64" s="30" t="str">
        <x:v>Planned — not started</x:v>
      </x:c>
      <x:c r="K64" s="30" t="str">
        <x:v>Engineering knowledge page</x:v>
      </x:c>
      <x:c r="L64" s="30" t="str">
        <x:v>Pending URL standard</x:v>
      </x:c>
      <x:c r="M64" s="30" t="str">
        <x:v>ENG.steel_beams_function_and_design_basics</x:v>
      </x:c>
      <x:c r="N64" s="30" t="str">
        <x:v>Required: principle schematic or formula diagram</x:v>
      </x:c>
      <x:c r="O64" s="30" t="str">
        <x:v>Per frozen page-format standard</x:v>
      </x:c>
      <x:c r="P64" s="30" t="str">
        <x:v>Fundamental textbooks only — assign before drafting</x:v>
      </x:c>
      <x:c r="Q64" s="30" t="str">
        <x:v>Not started</x:v>
      </x:c>
      <x:c r="R64" s="30" t="str">
        <x:v>Not published</x:v>
      </x:c>
      <x:c r="S64" s="31" t="str">
        <x:v>New knowledge/data page; prepare only after editorial workflow is approved.</x:v>
      </x:c>
    </x:row>
    <x:row r="65" ht="42" customHeight="1">
      <x:c r="A65" s="50" t="str">
        <x:v>ICH-ENG-056</x:v>
      </x:c>
      <x:c r="B65" s="30" t="str">
        <x:v>Knowledge/data page</x:v>
      </x:c>
      <x:c r="C65" s="53" t="str">
        <x:v>Engineering</x:v>
      </x:c>
      <x:c r="D65" s="30" t="str">
        <x:v>Structural and Industrial Civil Engineering</x:v>
      </x:c>
      <x:c r="E65" s="30" t="str">
        <x:v>Steel Structures</x:v>
      </x:c>
      <x:c r="F65" s="30" t="str">
        <x:v>Structural Members</x:v>
      </x:c>
      <x:c r="G65" s="30" t="str">
        <x:v>Steel Columns: Function and Design Basics</x:v>
      </x:c>
      <x:c r="H65" s="30" t="str">
        <x:v>Engineering &gt; Structural and Industrial Civil Engineering &gt; Steel Structures &gt; Structural Members &gt; Steel Columns: Function and Design Basics</x:v>
      </x:c>
      <x:c r="I65" s="30" t="str">
        <x:v>—</x:v>
      </x:c>
      <x:c r="J65" s="30" t="str">
        <x:v>Planned — not started</x:v>
      </x:c>
      <x:c r="K65" s="30" t="str">
        <x:v>Engineering knowledge page</x:v>
      </x:c>
      <x:c r="L65" s="30" t="str">
        <x:v>Pending URL standard</x:v>
      </x:c>
      <x:c r="M65" s="30" t="str">
        <x:v>ENG.steel_columns_function_and_design_basics</x:v>
      </x:c>
      <x:c r="N65" s="30" t="str">
        <x:v>Required: principle schematic or formula diagram</x:v>
      </x:c>
      <x:c r="O65" s="30" t="str">
        <x:v>Per frozen page-format standard</x:v>
      </x:c>
      <x:c r="P65" s="30" t="str">
        <x:v>Fundamental textbooks only — assign before drafting</x:v>
      </x:c>
      <x:c r="Q65" s="30" t="str">
        <x:v>Not started</x:v>
      </x:c>
      <x:c r="R65" s="30" t="str">
        <x:v>Not published</x:v>
      </x:c>
      <x:c r="S65" s="31" t="str">
        <x:v>New knowledge/data page; prepare only after editorial workflow is approved.</x:v>
      </x:c>
    </x:row>
    <x:row r="66" ht="42" customHeight="1">
      <x:c r="A66" s="50" t="str">
        <x:v>ICH-ENG-057</x:v>
      </x:c>
      <x:c r="B66" s="30" t="str">
        <x:v>Knowledge/data page</x:v>
      </x:c>
      <x:c r="C66" s="53" t="str">
        <x:v>Engineering</x:v>
      </x:c>
      <x:c r="D66" s="30" t="str">
        <x:v>Structural and Industrial Civil Engineering</x:v>
      </x:c>
      <x:c r="E66" s="30" t="str">
        <x:v>Steel Structures</x:v>
      </x:c>
      <x:c r="F66" s="30" t="str">
        <x:v>Connections</x:v>
      </x:c>
      <x:c r="G66" s="30" t="str">
        <x:v>Bolted and Welded Steel Connections</x:v>
      </x:c>
      <x:c r="H66" s="30" t="str">
        <x:v>Engineering &gt; Structural and Industrial Civil Engineering &gt; Steel Structures &gt; Connections &gt; Bolted and Welded Steel Connections</x:v>
      </x:c>
      <x:c r="I66" s="30" t="str">
        <x:v>—</x:v>
      </x:c>
      <x:c r="J66" s="30" t="str">
        <x:v>Planned — not started</x:v>
      </x:c>
      <x:c r="K66" s="30" t="str">
        <x:v>Engineering knowledge page</x:v>
      </x:c>
      <x:c r="L66" s="30" t="str">
        <x:v>Pending URL standard</x:v>
      </x:c>
      <x:c r="M66" s="30" t="str">
        <x:v>ENG.bolted_and_welded_steel_connections</x:v>
      </x:c>
      <x:c r="N66" s="30" t="str">
        <x:v>Required: principle schematic or formula diagram</x:v>
      </x:c>
      <x:c r="O66" s="30" t="str">
        <x:v>Per frozen page-format standard</x:v>
      </x:c>
      <x:c r="P66" s="30" t="str">
        <x:v>Fundamental textbooks only — assign before drafting</x:v>
      </x:c>
      <x:c r="Q66" s="30" t="str">
        <x:v>Not started</x:v>
      </x:c>
      <x:c r="R66" s="30" t="str">
        <x:v>Not published</x:v>
      </x:c>
      <x:c r="S66" s="31" t="str">
        <x:v>New knowledge/data page; prepare only after editorial workflow is approved.</x:v>
      </x:c>
    </x:row>
    <x:row r="67" ht="42" customHeight="1">
      <x:c r="A67" s="50" t="str">
        <x:v>ICH-ENG-058</x:v>
      </x:c>
      <x:c r="B67" s="30" t="str">
        <x:v>Knowledge/data page</x:v>
      </x:c>
      <x:c r="C67" s="53" t="str">
        <x:v>Engineering</x:v>
      </x:c>
      <x:c r="D67" s="30" t="str">
        <x:v>Structural and Industrial Civil Engineering</x:v>
      </x:c>
      <x:c r="E67" s="30" t="str">
        <x:v>Steel Structures</x:v>
      </x:c>
      <x:c r="F67" s="30" t="str">
        <x:v>Industrial Steelwork</x:v>
      </x:c>
      <x:c r="G67" s="30" t="str">
        <x:v>Pipe Racks, Platforms, Walkways and Equipment Supports</x:v>
      </x:c>
      <x:c r="H67" s="30" t="str">
        <x:v>Engineering &gt; Structural and Industrial Civil Engineering &gt; Steel Structures &gt; Industrial Steelwork &gt; Pipe Racks, Platforms, Walkways and Equipment Supports</x:v>
      </x:c>
      <x:c r="I67" s="30" t="str">
        <x:v>—</x:v>
      </x:c>
      <x:c r="J67" s="30" t="str">
        <x:v>Planned — not started</x:v>
      </x:c>
      <x:c r="K67" s="30" t="str">
        <x:v>Engineering knowledge page</x:v>
      </x:c>
      <x:c r="L67" s="30" t="str">
        <x:v>Pending URL standard</x:v>
      </x:c>
      <x:c r="M67" s="30" t="str">
        <x:v>ENG.pipe_racks_platforms_walkways_and_equipment_supports</x:v>
      </x:c>
      <x:c r="N67" s="30" t="str">
        <x:v>Required: principle schematic or formula diagram</x:v>
      </x:c>
      <x:c r="O67" s="30" t="str">
        <x:v>Per frozen page-format standard</x:v>
      </x:c>
      <x:c r="P67" s="30" t="str">
        <x:v>Fundamental textbooks only — assign before drafting</x:v>
      </x:c>
      <x:c r="Q67" s="30" t="str">
        <x:v>Not started</x:v>
      </x:c>
      <x:c r="R67" s="30" t="str">
        <x:v>Not published</x:v>
      </x:c>
      <x:c r="S67" s="31" t="str">
        <x:v>New knowledge/data page; prepare only after editorial workflow is approved.</x:v>
      </x:c>
    </x:row>
    <x:row r="68" ht="42" customHeight="1">
      <x:c r="A68" s="50" t="str">
        <x:v>ICH-ENG-059</x:v>
      </x:c>
      <x:c r="B68" s="30" t="str">
        <x:v>Knowledge/data page</x:v>
      </x:c>
      <x:c r="C68" s="53" t="str">
        <x:v>Engineering</x:v>
      </x:c>
      <x:c r="D68" s="30" t="str">
        <x:v>Structural and Industrial Civil Engineering</x:v>
      </x:c>
      <x:c r="E68" s="30" t="str">
        <x:v>Industrial Civil Works</x:v>
      </x:c>
      <x:c r="F68" s="30" t="str">
        <x:v>Foundations</x:v>
      </x:c>
      <x:c r="G68" s="30" t="str">
        <x:v>Equipment Foundations: Types and Design Inputs</x:v>
      </x:c>
      <x:c r="H68" s="30" t="str">
        <x:v>Engineering &gt; Structural and Industrial Civil Engineering &gt; Industrial Civil Works &gt; Foundations &gt; Equipment Foundations: Types and Design Inputs</x:v>
      </x:c>
      <x:c r="I68" s="30" t="str">
        <x:v>—</x:v>
      </x:c>
      <x:c r="J68" s="30" t="str">
        <x:v>Planned — not started</x:v>
      </x:c>
      <x:c r="K68" s="30" t="str">
        <x:v>Engineering knowledge page</x:v>
      </x:c>
      <x:c r="L68" s="30" t="str">
        <x:v>Pending URL standard</x:v>
      </x:c>
      <x:c r="M68" s="30" t="str">
        <x:v>ENG.equipment_foundations_types_and_design_inputs</x:v>
      </x:c>
      <x:c r="N68" s="30" t="str">
        <x:v>Required: principle schematic or formula diagram</x:v>
      </x:c>
      <x:c r="O68" s="30" t="str">
        <x:v>Per frozen page-format standard</x:v>
      </x:c>
      <x:c r="P68" s="30" t="str">
        <x:v>Fundamental textbooks only — assign before drafting</x:v>
      </x:c>
      <x:c r="Q68" s="30" t="str">
        <x:v>Not started</x:v>
      </x:c>
      <x:c r="R68" s="30" t="str">
        <x:v>Not published</x:v>
      </x:c>
      <x:c r="S68" s="31" t="str">
        <x:v>New knowledge/data page; prepare only after editorial workflow is approved.</x:v>
      </x:c>
    </x:row>
    <x:row r="69" ht="42" customHeight="1">
      <x:c r="A69" s="50" t="str">
        <x:v>ICH-ENG-060</x:v>
      </x:c>
      <x:c r="B69" s="30" t="str">
        <x:v>Knowledge/data page</x:v>
      </x:c>
      <x:c r="C69" s="53" t="str">
        <x:v>Engineering</x:v>
      </x:c>
      <x:c r="D69" s="30" t="str">
        <x:v>Structural and Industrial Civil Engineering</x:v>
      </x:c>
      <x:c r="E69" s="30" t="str">
        <x:v>Industrial Civil Works</x:v>
      </x:c>
      <x:c r="F69" s="30" t="str">
        <x:v>Drainage</x:v>
      </x:c>
      <x:c r="G69" s="30" t="str">
        <x:v>Industrial Plant Drainage and Grading Basics</x:v>
      </x:c>
      <x:c r="H69" s="30" t="str">
        <x:v>Engineering &gt; Structural and Industrial Civil Engineering &gt; Industrial Civil Works &gt; Drainage &gt; Industrial Plant Drainage and Grading Basics</x:v>
      </x:c>
      <x:c r="I69" s="30" t="str">
        <x:v>—</x:v>
      </x:c>
      <x:c r="J69" s="30" t="str">
        <x:v>Planned — not started</x:v>
      </x:c>
      <x:c r="K69" s="30" t="str">
        <x:v>Engineering knowledge page</x:v>
      </x:c>
      <x:c r="L69" s="30" t="str">
        <x:v>Pending URL standard</x:v>
      </x:c>
      <x:c r="M69" s="30" t="str">
        <x:v>ENG.industrial_plant_drainage_and_grading_basics</x:v>
      </x:c>
      <x:c r="N69" s="30" t="str">
        <x:v>Required: principle schematic or formula diagram</x:v>
      </x:c>
      <x:c r="O69" s="30" t="str">
        <x:v>Per frozen page-format standard</x:v>
      </x:c>
      <x:c r="P69" s="30" t="str">
        <x:v>Fundamental textbooks only — assign before drafting</x:v>
      </x:c>
      <x:c r="Q69" s="30" t="str">
        <x:v>Not started</x:v>
      </x:c>
      <x:c r="R69" s="30" t="str">
        <x:v>Not published</x:v>
      </x:c>
      <x:c r="S69" s="31" t="str">
        <x:v>New knowledge/data page; prepare only after editorial workflow is approved.</x:v>
      </x:c>
    </x:row>
    <x:row r="70" ht="42" customHeight="1">
      <x:c r="A70" s="50" t="str">
        <x:v>ICH-ENG-061</x:v>
      </x:c>
      <x:c r="B70" s="30" t="str">
        <x:v>Knowledge/data page</x:v>
      </x:c>
      <x:c r="C70" s="53" t="str">
        <x:v>Engineering</x:v>
      </x:c>
      <x:c r="D70" s="30" t="str">
        <x:v>Structural and Industrial Civil Engineering</x:v>
      </x:c>
      <x:c r="E70" s="30" t="str">
        <x:v>Industrial Civil Works</x:v>
      </x:c>
      <x:c r="F70" s="30" t="str">
        <x:v>Concrete Works</x:v>
      </x:c>
      <x:c r="G70" s="30" t="str">
        <x:v>Reinforced Concrete Fundamentals for Industrial Facilities</x:v>
      </x:c>
      <x:c r="H70" s="30" t="str">
        <x:v>Engineering &gt; Structural and Industrial Civil Engineering &gt; Industrial Civil Works &gt; Concrete Works &gt; Reinforced Concrete Fundamentals for Industrial Facilities</x:v>
      </x:c>
      <x:c r="I70" s="30" t="str">
        <x:v>—</x:v>
      </x:c>
      <x:c r="J70" s="30" t="str">
        <x:v>Planned — not started</x:v>
      </x:c>
      <x:c r="K70" s="30" t="str">
        <x:v>Engineering knowledge page</x:v>
      </x:c>
      <x:c r="L70" s="30" t="str">
        <x:v>Pending URL standard</x:v>
      </x:c>
      <x:c r="M70" s="30" t="str">
        <x:v>ENG.reinforced_concrete_fundamentals_for_industrial_facilities</x:v>
      </x:c>
      <x:c r="N70" s="30" t="str">
        <x:v>Required: principle schematic or formula diagram</x:v>
      </x:c>
      <x:c r="O70" s="30" t="str">
        <x:v>Per frozen page-format standard</x:v>
      </x:c>
      <x:c r="P70" s="30" t="str">
        <x:v>Fundamental textbooks only — assign before drafting</x:v>
      </x:c>
      <x:c r="Q70" s="30" t="str">
        <x:v>Not started</x:v>
      </x:c>
      <x:c r="R70" s="30" t="str">
        <x:v>Not published</x:v>
      </x:c>
      <x:c r="S70" s="31" t="str">
        <x:v>New knowledge/data page; prepare only after editorial workflow is approved.</x:v>
      </x:c>
    </x:row>
    <x:row r="71" ht="42" customHeight="1">
      <x:c r="A71" s="50" t="str">
        <x:v>ICH-ENG-062</x:v>
      </x:c>
      <x:c r="B71" s="30" t="str">
        <x:v>Knowledge/data page</x:v>
      </x:c>
      <x:c r="C71" s="53" t="str">
        <x:v>Engineering</x:v>
      </x:c>
      <x:c r="D71" s="30" t="str">
        <x:v>Electrical Engineering</x:v>
      </x:c>
      <x:c r="E71" s="30" t="str">
        <x:v>Electrical Fundamentals</x:v>
      </x:c>
      <x:c r="F71" s="30" t="str">
        <x:v>AC and DC Systems</x:v>
      </x:c>
      <x:c r="G71" s="30" t="str">
        <x:v>Voltage, Current, Power and Power Factor</x:v>
      </x:c>
      <x:c r="H71" s="30" t="str">
        <x:v>Engineering &gt; Electrical Engineering &gt; Electrical Fundamentals &gt; AC and DC Systems &gt; Voltage, Current, Power and Power Factor</x:v>
      </x:c>
      <x:c r="I71" s="30" t="str">
        <x:v>—</x:v>
      </x:c>
      <x:c r="J71" s="30" t="str">
        <x:v>Planned — not started</x:v>
      </x:c>
      <x:c r="K71" s="30" t="str">
        <x:v>Engineering knowledge page</x:v>
      </x:c>
      <x:c r="L71" s="30" t="str">
        <x:v>Pending URL standard</x:v>
      </x:c>
      <x:c r="M71" s="30" t="str">
        <x:v>ENG.voltage_current_power_and_power_factor</x:v>
      </x:c>
      <x:c r="N71" s="30" t="str">
        <x:v>Required: principle schematic or formula diagram</x:v>
      </x:c>
      <x:c r="O71" s="30" t="str">
        <x:v>Per frozen page-format standard</x:v>
      </x:c>
      <x:c r="P71" s="30" t="str">
        <x:v>Fundamental textbooks only — assign before drafting</x:v>
      </x:c>
      <x:c r="Q71" s="30" t="str">
        <x:v>Not started</x:v>
      </x:c>
      <x:c r="R71" s="30" t="str">
        <x:v>Not published</x:v>
      </x:c>
      <x:c r="S71" s="31" t="str">
        <x:v>New knowledge/data page; prepare only after editorial workflow is approved.</x:v>
      </x:c>
    </x:row>
    <x:row r="72" ht="42" customHeight="1">
      <x:c r="A72" s="50" t="str">
        <x:v>ICH-ENG-063</x:v>
      </x:c>
      <x:c r="B72" s="30" t="str">
        <x:v>Knowledge/data page</x:v>
      </x:c>
      <x:c r="C72" s="53" t="str">
        <x:v>Engineering</x:v>
      </x:c>
      <x:c r="D72" s="30" t="str">
        <x:v>Electrical Engineering</x:v>
      </x:c>
      <x:c r="E72" s="30" t="str">
        <x:v>Electrical Fundamentals</x:v>
      </x:c>
      <x:c r="F72" s="30" t="str">
        <x:v>Three-Phase Power</x:v>
      </x:c>
      <x:c r="G72" s="30" t="str">
        <x:v>Three-Phase Electrical System Fundamentals</x:v>
      </x:c>
      <x:c r="H72" s="30" t="str">
        <x:v>Engineering &gt; Electrical Engineering &gt; Electrical Fundamentals &gt; Three-Phase Power &gt; Three-Phase Electrical System Fundamentals</x:v>
      </x:c>
      <x:c r="I72" s="30" t="str">
        <x:v>—</x:v>
      </x:c>
      <x:c r="J72" s="30" t="str">
        <x:v>Planned — not started</x:v>
      </x:c>
      <x:c r="K72" s="30" t="str">
        <x:v>Engineering knowledge page</x:v>
      </x:c>
      <x:c r="L72" s="30" t="str">
        <x:v>Pending URL standard</x:v>
      </x:c>
      <x:c r="M72" s="30" t="str">
        <x:v>ENG.three_phase_electrical_system_fundamentals</x:v>
      </x:c>
      <x:c r="N72" s="30" t="str">
        <x:v>Required: principle schematic or formula diagram</x:v>
      </x:c>
      <x:c r="O72" s="30" t="str">
        <x:v>Per frozen page-format standard</x:v>
      </x:c>
      <x:c r="P72" s="30" t="str">
        <x:v>Fundamental textbooks only — assign before drafting</x:v>
      </x:c>
      <x:c r="Q72" s="30" t="str">
        <x:v>Not started</x:v>
      </x:c>
      <x:c r="R72" s="30" t="str">
        <x:v>Not published</x:v>
      </x:c>
      <x:c r="S72" s="31" t="str">
        <x:v>New knowledge/data page; prepare only after editorial workflow is approved.</x:v>
      </x:c>
    </x:row>
    <x:row r="73" ht="42" customHeight="1">
      <x:c r="A73" s="50" t="str">
        <x:v>ICH-ENG-064</x:v>
      </x:c>
      <x:c r="B73" s="30" t="str">
        <x:v>Knowledge/data page</x:v>
      </x:c>
      <x:c r="C73" s="53" t="str">
        <x:v>Engineering</x:v>
      </x:c>
      <x:c r="D73" s="30" t="str">
        <x:v>Electrical Engineering</x:v>
      </x:c>
      <x:c r="E73" s="30" t="str">
        <x:v>Electrical Machines</x:v>
      </x:c>
      <x:c r="F73" s="30" t="str">
        <x:v>Motors</x:v>
      </x:c>
      <x:c r="G73" s="30" t="str">
        <x:v>Industrial Motors: Types, Starting and Applications</x:v>
      </x:c>
      <x:c r="H73" s="30" t="str">
        <x:v>Engineering &gt; Electrical Engineering &gt; Electrical Machines &gt; Motors &gt; Industrial Motors: Types, Starting and Applications</x:v>
      </x:c>
      <x:c r="I73" s="30" t="str">
        <x:v>—</x:v>
      </x:c>
      <x:c r="J73" s="30" t="str">
        <x:v>Planned — not started</x:v>
      </x:c>
      <x:c r="K73" s="30" t="str">
        <x:v>Engineering knowledge page</x:v>
      </x:c>
      <x:c r="L73" s="30" t="str">
        <x:v>Pending URL standard</x:v>
      </x:c>
      <x:c r="M73" s="30" t="str">
        <x:v>ENG.industrial_motors_types_starting_and_applications</x:v>
      </x:c>
      <x:c r="N73" s="30" t="str">
        <x:v>Required: principle schematic or formula diagram</x:v>
      </x:c>
      <x:c r="O73" s="30" t="str">
        <x:v>Per frozen page-format standard</x:v>
      </x:c>
      <x:c r="P73" s="30" t="str">
        <x:v>Fundamental textbooks only — assign before drafting</x:v>
      </x:c>
      <x:c r="Q73" s="30" t="str">
        <x:v>Not started</x:v>
      </x:c>
      <x:c r="R73" s="30" t="str">
        <x:v>Not published</x:v>
      </x:c>
      <x:c r="S73" s="31" t="str">
        <x:v>New knowledge/data page; prepare only after editorial workflow is approved.</x:v>
      </x:c>
    </x:row>
    <x:row r="74" ht="42" customHeight="1">
      <x:c r="A74" s="50" t="str">
        <x:v>ICH-ENG-065</x:v>
      </x:c>
      <x:c r="B74" s="30" t="str">
        <x:v>Knowledge/data page</x:v>
      </x:c>
      <x:c r="C74" s="53" t="str">
        <x:v>Engineering</x:v>
      </x:c>
      <x:c r="D74" s="30" t="str">
        <x:v>Electrical Engineering</x:v>
      </x:c>
      <x:c r="E74" s="30" t="str">
        <x:v>Electrical Machines</x:v>
      </x:c>
      <x:c r="F74" s="30" t="str">
        <x:v>Transformers and Generators</x:v>
      </x:c>
      <x:c r="G74" s="30" t="str">
        <x:v>Transformers and Generators: Working Principles</x:v>
      </x:c>
      <x:c r="H74" s="30" t="str">
        <x:v>Engineering &gt; Electrical Engineering &gt; Electrical Machines &gt; Transformers and Generators &gt; Transformers and Generators: Working Principles</x:v>
      </x:c>
      <x:c r="I74" s="30" t="str">
        <x:v>—</x:v>
      </x:c>
      <x:c r="J74" s="30" t="str">
        <x:v>Planned — not started</x:v>
      </x:c>
      <x:c r="K74" s="30" t="str">
        <x:v>Engineering knowledge page</x:v>
      </x:c>
      <x:c r="L74" s="30" t="str">
        <x:v>Pending URL standard</x:v>
      </x:c>
      <x:c r="M74" s="30" t="str">
        <x:v>ENG.transformers_and_generators_working_principles</x:v>
      </x:c>
      <x:c r="N74" s="30" t="str">
        <x:v>Required: principle schematic or formula diagram</x:v>
      </x:c>
      <x:c r="O74" s="30" t="str">
        <x:v>Per frozen page-format standard</x:v>
      </x:c>
      <x:c r="P74" s="30" t="str">
        <x:v>Fundamental textbooks only — assign before drafting</x:v>
      </x:c>
      <x:c r="Q74" s="30" t="str">
        <x:v>Not started</x:v>
      </x:c>
      <x:c r="R74" s="30" t="str">
        <x:v>Not published</x:v>
      </x:c>
      <x:c r="S74" s="31" t="str">
        <x:v>New knowledge/data page; prepare only after editorial workflow is approved.</x:v>
      </x:c>
    </x:row>
    <x:row r="75" ht="42" customHeight="1">
      <x:c r="A75" s="50" t="str">
        <x:v>ICH-ENG-066</x:v>
      </x:c>
      <x:c r="B75" s="30" t="str">
        <x:v>Knowledge/data page</x:v>
      </x:c>
      <x:c r="C75" s="53" t="str">
        <x:v>Engineering</x:v>
      </x:c>
      <x:c r="D75" s="30" t="str">
        <x:v>Electrical Engineering</x:v>
      </x:c>
      <x:c r="E75" s="30" t="str">
        <x:v>Industrial Power Distribution</x:v>
      </x:c>
      <x:c r="F75" s="30" t="str">
        <x:v>Switchgear and Protection</x:v>
      </x:c>
      <x:c r="G75" s="30" t="str">
        <x:v>Switchgear, Circuit Breakers and Protective Relays</x:v>
      </x:c>
      <x:c r="H75" s="30" t="str">
        <x:v>Engineering &gt; Electrical Engineering &gt; Industrial Power Distribution &gt; Switchgear and Protection &gt; Switchgear, Circuit Breakers and Protective Relays</x:v>
      </x:c>
      <x:c r="I75" s="30" t="str">
        <x:v>—</x:v>
      </x:c>
      <x:c r="J75" s="30" t="str">
        <x:v>Planned — not started</x:v>
      </x:c>
      <x:c r="K75" s="30" t="str">
        <x:v>Engineering knowledge page</x:v>
      </x:c>
      <x:c r="L75" s="30" t="str">
        <x:v>Pending URL standard</x:v>
      </x:c>
      <x:c r="M75" s="30" t="str">
        <x:v>ENG.switchgear_circuit_breakers_and_protective_relays</x:v>
      </x:c>
      <x:c r="N75" s="30" t="str">
        <x:v>Required: principle schematic or formula diagram</x:v>
      </x:c>
      <x:c r="O75" s="30" t="str">
        <x:v>Per frozen page-format standard</x:v>
      </x:c>
      <x:c r="P75" s="30" t="str">
        <x:v>Fundamental textbooks only — assign before drafting</x:v>
      </x:c>
      <x:c r="Q75" s="30" t="str">
        <x:v>Not started</x:v>
      </x:c>
      <x:c r="R75" s="30" t="str">
        <x:v>Not published</x:v>
      </x:c>
      <x:c r="S75" s="31" t="str">
        <x:v>New knowledge/data page; prepare only after editorial workflow is approved.</x:v>
      </x:c>
    </x:row>
    <x:row r="76" ht="42" customHeight="1">
      <x:c r="A76" s="50" t="str">
        <x:v>ICH-ENG-067</x:v>
      </x:c>
      <x:c r="B76" s="30" t="str">
        <x:v>Knowledge/data page</x:v>
      </x:c>
      <x:c r="C76" s="53" t="str">
        <x:v>Engineering</x:v>
      </x:c>
      <x:c r="D76" s="30" t="str">
        <x:v>Electrical Engineering</x:v>
      </x:c>
      <x:c r="E76" s="30" t="str">
        <x:v>Industrial Power Distribution</x:v>
      </x:c>
      <x:c r="F76" s="30" t="str">
        <x:v>Cables</x:v>
      </x:c>
      <x:c r="G76" s="30" t="str">
        <x:v>Power Cables: Construction and Selection Inputs</x:v>
      </x:c>
      <x:c r="H76" s="30" t="str">
        <x:v>Engineering &gt; Electrical Engineering &gt; Industrial Power Distribution &gt; Cables &gt; Power Cables: Construction and Selection Inputs</x:v>
      </x:c>
      <x:c r="I76" s="30" t="str">
        <x:v>—</x:v>
      </x:c>
      <x:c r="J76" s="30" t="str">
        <x:v>Planned — not started</x:v>
      </x:c>
      <x:c r="K76" s="30" t="str">
        <x:v>Engineering knowledge page</x:v>
      </x:c>
      <x:c r="L76" s="30" t="str">
        <x:v>Pending URL standard</x:v>
      </x:c>
      <x:c r="M76" s="30" t="str">
        <x:v>ENG.power_cables_construction_and_selection_inputs</x:v>
      </x:c>
      <x:c r="N76" s="30" t="str">
        <x:v>Required: principle schematic or formula diagram</x:v>
      </x:c>
      <x:c r="O76" s="30" t="str">
        <x:v>Per frozen page-format standard</x:v>
      </x:c>
      <x:c r="P76" s="30" t="str">
        <x:v>Fundamental textbooks only — assign before drafting</x:v>
      </x:c>
      <x:c r="Q76" s="30" t="str">
        <x:v>Not started</x:v>
      </x:c>
      <x:c r="R76" s="30" t="str">
        <x:v>Not published</x:v>
      </x:c>
      <x:c r="S76" s="31" t="str">
        <x:v>New knowledge/data page; prepare only after editorial workflow is approved.</x:v>
      </x:c>
    </x:row>
    <x:row r="77" ht="42" customHeight="1">
      <x:c r="A77" s="50" t="str">
        <x:v>ICH-ENG-068</x:v>
      </x:c>
      <x:c r="B77" s="30" t="str">
        <x:v>Knowledge/data page</x:v>
      </x:c>
      <x:c r="C77" s="53" t="str">
        <x:v>Engineering</x:v>
      </x:c>
      <x:c r="D77" s="30" t="str">
        <x:v>Electrical Engineering</x:v>
      </x:c>
      <x:c r="E77" s="30" t="str">
        <x:v>Industrial Power Distribution</x:v>
      </x:c>
      <x:c r="F77" s="30" t="str">
        <x:v>Earthing</x:v>
      </x:c>
      <x:c r="G77" s="30" t="str">
        <x:v>Earthing and Grounding Fundamentals</x:v>
      </x:c>
      <x:c r="H77" s="30" t="str">
        <x:v>Engineering &gt; Electrical Engineering &gt; Industrial Power Distribution &gt; Earthing &gt; Earthing and Grounding Fundamentals</x:v>
      </x:c>
      <x:c r="I77" s="30" t="str">
        <x:v>—</x:v>
      </x:c>
      <x:c r="J77" s="30" t="str">
        <x:v>Planned — not started</x:v>
      </x:c>
      <x:c r="K77" s="30" t="str">
        <x:v>Engineering knowledge page</x:v>
      </x:c>
      <x:c r="L77" s="30" t="str">
        <x:v>Pending URL standard</x:v>
      </x:c>
      <x:c r="M77" s="30" t="str">
        <x:v>ENG.earthing_and_grounding_fundamentals</x:v>
      </x:c>
      <x:c r="N77" s="30" t="str">
        <x:v>Required: principle schematic or formula diagram</x:v>
      </x:c>
      <x:c r="O77" s="30" t="str">
        <x:v>Per frozen page-format standard</x:v>
      </x:c>
      <x:c r="P77" s="30" t="str">
        <x:v>Fundamental textbooks only — assign before drafting</x:v>
      </x:c>
      <x:c r="Q77" s="30" t="str">
        <x:v>Not started</x:v>
      </x:c>
      <x:c r="R77" s="30" t="str">
        <x:v>Not published</x:v>
      </x:c>
      <x:c r="S77" s="31" t="str">
        <x:v>New knowledge/data page; prepare only after editorial workflow is approved.</x:v>
      </x:c>
    </x:row>
    <x:row r="78" ht="42" customHeight="1">
      <x:c r="A78" s="50" t="str">
        <x:v>ICH-ENG-069</x:v>
      </x:c>
      <x:c r="B78" s="30" t="str">
        <x:v>Knowledge/data page</x:v>
      </x:c>
      <x:c r="C78" s="53" t="str">
        <x:v>Engineering</x:v>
      </x:c>
      <x:c r="D78" s="30" t="str">
        <x:v>Instrumentation and Control Engineering</x:v>
      </x:c>
      <x:c r="E78" s="30" t="str">
        <x:v>Process Measurement</x:v>
      </x:c>
      <x:c r="F78" s="30" t="str">
        <x:v>Pressure and Temperature</x:v>
      </x:c>
      <x:c r="G78" s="30" t="str">
        <x:v>Pressure and Temperature Measurement Instruments</x:v>
      </x:c>
      <x:c r="H78" s="30" t="str">
        <x:v>Engineering &gt; Instrumentation and Control Engineering &gt; Process Measurement &gt; Pressure and Temperature &gt; Pressure and Temperature Measurement Instruments</x:v>
      </x:c>
      <x:c r="I78" s="30" t="str">
        <x:v>—</x:v>
      </x:c>
      <x:c r="J78" s="30" t="str">
        <x:v>Planned — not started</x:v>
      </x:c>
      <x:c r="K78" s="30" t="str">
        <x:v>Engineering knowledge page</x:v>
      </x:c>
      <x:c r="L78" s="30" t="str">
        <x:v>Pending URL standard</x:v>
      </x:c>
      <x:c r="M78" s="30" t="str">
        <x:v>ENG.pressure_and_temperature_measurement_instruments</x:v>
      </x:c>
      <x:c r="N78" s="30" t="str">
        <x:v>Required: principle schematic or formula diagram</x:v>
      </x:c>
      <x:c r="O78" s="30" t="str">
        <x:v>Per frozen page-format standard</x:v>
      </x:c>
      <x:c r="P78" s="30" t="str">
        <x:v>Fundamental textbooks only — assign before drafting</x:v>
      </x:c>
      <x:c r="Q78" s="30" t="str">
        <x:v>Not started</x:v>
      </x:c>
      <x:c r="R78" s="30" t="str">
        <x:v>Not published</x:v>
      </x:c>
      <x:c r="S78" s="31" t="str">
        <x:v>New knowledge/data page; prepare only after editorial workflow is approved.</x:v>
      </x:c>
    </x:row>
    <x:row r="79" ht="42" customHeight="1">
      <x:c r="A79" s="50" t="str">
        <x:v>ICH-ENG-070</x:v>
      </x:c>
      <x:c r="B79" s="30" t="str">
        <x:v>Knowledge/data page</x:v>
      </x:c>
      <x:c r="C79" s="53" t="str">
        <x:v>Engineering</x:v>
      </x:c>
      <x:c r="D79" s="30" t="str">
        <x:v>Instrumentation and Control Engineering</x:v>
      </x:c>
      <x:c r="E79" s="30" t="str">
        <x:v>Process Measurement</x:v>
      </x:c>
      <x:c r="F79" s="30" t="str">
        <x:v>Flow Measurement</x:v>
      </x:c>
      <x:c r="G79" s="30" t="str">
        <x:v>Industrial Flow Measurement Methods</x:v>
      </x:c>
      <x:c r="H79" s="30" t="str">
        <x:v>Engineering &gt; Instrumentation and Control Engineering &gt; Process Measurement &gt; Flow Measurement &gt; Industrial Flow Measurement Methods</x:v>
      </x:c>
      <x:c r="I79" s="30" t="str">
        <x:v>—</x:v>
      </x:c>
      <x:c r="J79" s="30" t="str">
        <x:v>Planned — not started</x:v>
      </x:c>
      <x:c r="K79" s="30" t="str">
        <x:v>Engineering knowledge page</x:v>
      </x:c>
      <x:c r="L79" s="30" t="str">
        <x:v>Pending URL standard</x:v>
      </x:c>
      <x:c r="M79" s="30" t="str">
        <x:v>ENG.industrial_flow_measurement_methods</x:v>
      </x:c>
      <x:c r="N79" s="30" t="str">
        <x:v>Required: principle schematic or formula diagram</x:v>
      </x:c>
      <x:c r="O79" s="30" t="str">
        <x:v>Per frozen page-format standard</x:v>
      </x:c>
      <x:c r="P79" s="30" t="str">
        <x:v>Fundamental textbooks only — assign before drafting</x:v>
      </x:c>
      <x:c r="Q79" s="30" t="str">
        <x:v>Not started</x:v>
      </x:c>
      <x:c r="R79" s="30" t="str">
        <x:v>Not published</x:v>
      </x:c>
      <x:c r="S79" s="31" t="str">
        <x:v>New knowledge/data page; prepare only after editorial workflow is approved.</x:v>
      </x:c>
    </x:row>
    <x:row r="80" ht="42" customHeight="1">
      <x:c r="A80" s="50" t="str">
        <x:v>ICH-ENG-071</x:v>
      </x:c>
      <x:c r="B80" s="30" t="str">
        <x:v>Knowledge/data page</x:v>
      </x:c>
      <x:c r="C80" s="53" t="str">
        <x:v>Engineering</x:v>
      </x:c>
      <x:c r="D80" s="30" t="str">
        <x:v>Instrumentation and Control Engineering</x:v>
      </x:c>
      <x:c r="E80" s="30" t="str">
        <x:v>Process Measurement</x:v>
      </x:c>
      <x:c r="F80" s="30" t="str">
        <x:v>Level Measurement</x:v>
      </x:c>
      <x:c r="G80" s="30" t="str">
        <x:v>Level Measurement Methods for Tanks and Silos</x:v>
      </x:c>
      <x:c r="H80" s="30" t="str">
        <x:v>Engineering &gt; Instrumentation and Control Engineering &gt; Process Measurement &gt; Level Measurement &gt; Level Measurement Methods for Tanks and Silos</x:v>
      </x:c>
      <x:c r="I80" s="30" t="str">
        <x:v>—</x:v>
      </x:c>
      <x:c r="J80" s="30" t="str">
        <x:v>Planned — not started</x:v>
      </x:c>
      <x:c r="K80" s="30" t="str">
        <x:v>Engineering knowledge page</x:v>
      </x:c>
      <x:c r="L80" s="30" t="str">
        <x:v>Pending URL standard</x:v>
      </x:c>
      <x:c r="M80" s="30" t="str">
        <x:v>ENG.level_measurement_methods_for_tanks_and_silos</x:v>
      </x:c>
      <x:c r="N80" s="30" t="str">
        <x:v>Required: principle schematic or formula diagram</x:v>
      </x:c>
      <x:c r="O80" s="30" t="str">
        <x:v>Per frozen page-format standard</x:v>
      </x:c>
      <x:c r="P80" s="30" t="str">
        <x:v>Fundamental textbooks only — assign before drafting</x:v>
      </x:c>
      <x:c r="Q80" s="30" t="str">
        <x:v>Not started</x:v>
      </x:c>
      <x:c r="R80" s="30" t="str">
        <x:v>Not published</x:v>
      </x:c>
      <x:c r="S80" s="31" t="str">
        <x:v>New knowledge/data page; prepare only after editorial workflow is approved.</x:v>
      </x:c>
    </x:row>
    <x:row r="81" ht="42" customHeight="1">
      <x:c r="A81" s="50" t="str">
        <x:v>ICH-ENG-072</x:v>
      </x:c>
      <x:c r="B81" s="30" t="str">
        <x:v>Knowledge/data page</x:v>
      </x:c>
      <x:c r="C81" s="53" t="str">
        <x:v>Engineering</x:v>
      </x:c>
      <x:c r="D81" s="30" t="str">
        <x:v>Instrumentation and Control Engineering</x:v>
      </x:c>
      <x:c r="E81" s="30" t="str">
        <x:v>Final Control Elements</x:v>
      </x:c>
      <x:c r="F81" s="30" t="str">
        <x:v>Control Valves</x:v>
      </x:c>
      <x:c r="G81" s="30" t="str">
        <x:v>Control Valves: Types, Components and Applications</x:v>
      </x:c>
      <x:c r="H81" s="30" t="str">
        <x:v>Engineering &gt; Instrumentation and Control Engineering &gt; Final Control Elements &gt; Control Valves &gt; Control Valves: Types, Components and Applications</x:v>
      </x:c>
      <x:c r="I81" s="30" t="str">
        <x:v>—</x:v>
      </x:c>
      <x:c r="J81" s="30" t="str">
        <x:v>Planned — not started</x:v>
      </x:c>
      <x:c r="K81" s="30" t="str">
        <x:v>Engineering knowledge page</x:v>
      </x:c>
      <x:c r="L81" s="30" t="str">
        <x:v>Pending URL standard</x:v>
      </x:c>
      <x:c r="M81" s="30" t="str">
        <x:v>ENG.control_valves_types_components_and_applications</x:v>
      </x:c>
      <x:c r="N81" s="30" t="str">
        <x:v>Required: principle schematic or formula diagram</x:v>
      </x:c>
      <x:c r="O81" s="30" t="str">
        <x:v>Per frozen page-format standard</x:v>
      </x:c>
      <x:c r="P81" s="30" t="str">
        <x:v>Fundamental textbooks only — assign before drafting</x:v>
      </x:c>
      <x:c r="Q81" s="30" t="str">
        <x:v>Not started</x:v>
      </x:c>
      <x:c r="R81" s="30" t="str">
        <x:v>Not published</x:v>
      </x:c>
      <x:c r="S81" s="31" t="str">
        <x:v>New knowledge/data page; prepare only after editorial workflow is approved.</x:v>
      </x:c>
    </x:row>
    <x:row r="82" ht="42" customHeight="1">
      <x:c r="A82" s="50" t="str">
        <x:v>ICH-ENG-073</x:v>
      </x:c>
      <x:c r="B82" s="30" t="str">
        <x:v>Knowledge/data page</x:v>
      </x:c>
      <x:c r="C82" s="53" t="str">
        <x:v>Engineering</x:v>
      </x:c>
      <x:c r="D82" s="30" t="str">
        <x:v>Instrumentation and Control Engineering</x:v>
      </x:c>
      <x:c r="E82" s="30" t="str">
        <x:v>Automation and Control</x:v>
      </x:c>
      <x:c r="F82" s="30" t="str">
        <x:v>Control Loops</x:v>
      </x:c>
      <x:c r="G82" s="30" t="str">
        <x:v>PID Control Loop Fundamentals</x:v>
      </x:c>
      <x:c r="H82" s="30" t="str">
        <x:v>Engineering &gt; Instrumentation and Control Engineering &gt; Automation and Control &gt; Control Loops &gt; PID Control Loop Fundamentals</x:v>
      </x:c>
      <x:c r="I82" s="30" t="str">
        <x:v>—</x:v>
      </x:c>
      <x:c r="J82" s="30" t="str">
        <x:v>Planned — not started</x:v>
      </x:c>
      <x:c r="K82" s="30" t="str">
        <x:v>Engineering knowledge page</x:v>
      </x:c>
      <x:c r="L82" s="30" t="str">
        <x:v>Pending URL standard</x:v>
      </x:c>
      <x:c r="M82" s="30" t="str">
        <x:v>ENG.pid_control_loop_fundamentals</x:v>
      </x:c>
      <x:c r="N82" s="30" t="str">
        <x:v>Required: principle schematic or formula diagram</x:v>
      </x:c>
      <x:c r="O82" s="30" t="str">
        <x:v>Per frozen page-format standard</x:v>
      </x:c>
      <x:c r="P82" s="30" t="str">
        <x:v>Fundamental textbooks only — assign before drafting</x:v>
      </x:c>
      <x:c r="Q82" s="30" t="str">
        <x:v>Not started</x:v>
      </x:c>
      <x:c r="R82" s="30" t="str">
        <x:v>Not published</x:v>
      </x:c>
      <x:c r="S82" s="31" t="str">
        <x:v>New knowledge/data page; prepare only after editorial workflow is approved.</x:v>
      </x:c>
    </x:row>
    <x:row r="83" ht="42" customHeight="1">
      <x:c r="A83" s="50" t="str">
        <x:v>ICH-ENG-074</x:v>
      </x:c>
      <x:c r="B83" s="30" t="str">
        <x:v>Knowledge/data page</x:v>
      </x:c>
      <x:c r="C83" s="53" t="str">
        <x:v>Engineering</x:v>
      </x:c>
      <x:c r="D83" s="30" t="str">
        <x:v>Instrumentation and Control Engineering</x:v>
      </x:c>
      <x:c r="E83" s="30" t="str">
        <x:v>Automation and Control</x:v>
      </x:c>
      <x:c r="F83" s="30" t="str">
        <x:v>Plant Automation</x:v>
      </x:c>
      <x:c r="G83" s="30" t="str">
        <x:v>PLC, DCS, SCADA, Alarms and Interlocks</x:v>
      </x:c>
      <x:c r="H83" s="30" t="str">
        <x:v>Engineering &gt; Instrumentation and Control Engineering &gt; Automation and Control &gt; Plant Automation &gt; PLC, DCS, SCADA, Alarms and Interlocks</x:v>
      </x:c>
      <x:c r="I83" s="30" t="str">
        <x:v>—</x:v>
      </x:c>
      <x:c r="J83" s="30" t="str">
        <x:v>Planned — not started</x:v>
      </x:c>
      <x:c r="K83" s="30" t="str">
        <x:v>Engineering knowledge page</x:v>
      </x:c>
      <x:c r="L83" s="30" t="str">
        <x:v>Pending URL standard</x:v>
      </x:c>
      <x:c r="M83" s="30" t="str">
        <x:v>ENG.plc_dcs_scada_alarms_and_interlocks</x:v>
      </x:c>
      <x:c r="N83" s="30" t="str">
        <x:v>Required: principle schematic or formula diagram</x:v>
      </x:c>
      <x:c r="O83" s="30" t="str">
        <x:v>Per frozen page-format standard</x:v>
      </x:c>
      <x:c r="P83" s="30" t="str">
        <x:v>Fundamental textbooks only — assign before drafting</x:v>
      </x:c>
      <x:c r="Q83" s="30" t="str">
        <x:v>Not started</x:v>
      </x:c>
      <x:c r="R83" s="30" t="str">
        <x:v>Not published</x:v>
      </x:c>
      <x:c r="S83" s="31" t="str">
        <x:v>New knowledge/data page; prepare only after editorial workflow is approved.</x:v>
      </x:c>
    </x:row>
    <x:row r="84" ht="42" customHeight="1">
      <x:c r="A84" s="50" t="str">
        <x:v>ICH-ENG-075</x:v>
      </x:c>
      <x:c r="B84" s="30" t="str">
        <x:v>Knowledge/data page</x:v>
      </x:c>
      <x:c r="C84" s="53" t="str">
        <x:v>Engineering</x:v>
      </x:c>
      <x:c r="D84" s="30" t="str">
        <x:v>Material Handling and Bulk Solids</x:v>
      </x:c>
      <x:c r="E84" s="30" t="str">
        <x:v>Bulk Material Properties</x:v>
      </x:c>
      <x:c r="F84" s="30" t="str">
        <x:v>Flow Behaviour</x:v>
      </x:c>
      <x:c r="G84" s="30" t="str">
        <x:v>Bulk Solids Flow Properties: Angle of Repose, Cohesion and Moisture</x:v>
      </x:c>
      <x:c r="H84" s="30" t="str">
        <x:v>Engineering &gt; Material Handling and Bulk Solids &gt; Bulk Material Properties &gt; Flow Behaviour &gt; Bulk Solids Flow Properties: Angle of Repose, Cohesion and Moisture</x:v>
      </x:c>
      <x:c r="I84" s="30" t="str">
        <x:v>—</x:v>
      </x:c>
      <x:c r="J84" s="30" t="str">
        <x:v>Planned — not started</x:v>
      </x:c>
      <x:c r="K84" s="30" t="str">
        <x:v>Engineering knowledge page</x:v>
      </x:c>
      <x:c r="L84" s="30" t="str">
        <x:v>Pending URL standard</x:v>
      </x:c>
      <x:c r="M84" s="30" t="str">
        <x:v>ENG.bulk_solids_flow_properties_angle_of_repose_cohesion_and_moisture</x:v>
      </x:c>
      <x:c r="N84" s="30" t="str">
        <x:v>Required: principle schematic or formula diagram</x:v>
      </x:c>
      <x:c r="O84" s="30" t="str">
        <x:v>Per frozen page-format standard</x:v>
      </x:c>
      <x:c r="P84" s="30" t="str">
        <x:v>Fundamental textbooks only — assign before drafting</x:v>
      </x:c>
      <x:c r="Q84" s="30" t="str">
        <x:v>Not started</x:v>
      </x:c>
      <x:c r="R84" s="30" t="str">
        <x:v>Not published</x:v>
      </x:c>
      <x:c r="S84" s="31" t="str">
        <x:v>New knowledge/data page; prepare only after editorial workflow is approved.</x:v>
      </x:c>
    </x:row>
    <x:row r="85" ht="42" customHeight="1">
      <x:c r="A85" s="50" t="str">
        <x:v>ICH-ENG-076</x:v>
      </x:c>
      <x:c r="B85" s="30" t="str">
        <x:v>Knowledge/data page</x:v>
      </x:c>
      <x:c r="C85" s="53" t="str">
        <x:v>Engineering</x:v>
      </x:c>
      <x:c r="D85" s="30" t="str">
        <x:v>Material Handling and Bulk Solids</x:v>
      </x:c>
      <x:c r="E85" s="30" t="str">
        <x:v>Bulk Material Properties</x:v>
      </x:c>
      <x:c r="F85" s="30" t="str">
        <x:v>Storage Behaviour</x:v>
      </x:c>
      <x:c r="G85" s="30" t="str">
        <x:v>Segregation, Bridging and Ratholing in Bulk Solids</x:v>
      </x:c>
      <x:c r="H85" s="30" t="str">
        <x:v>Engineering &gt; Material Handling and Bulk Solids &gt; Bulk Material Properties &gt; Storage Behaviour &gt; Segregation, Bridging and Ratholing in Bulk Solids</x:v>
      </x:c>
      <x:c r="I85" s="30" t="str">
        <x:v>—</x:v>
      </x:c>
      <x:c r="J85" s="30" t="str">
        <x:v>Planned — not started</x:v>
      </x:c>
      <x:c r="K85" s="30" t="str">
        <x:v>Engineering knowledge page</x:v>
      </x:c>
      <x:c r="L85" s="30" t="str">
        <x:v>Pending URL standard</x:v>
      </x:c>
      <x:c r="M85" s="30" t="str">
        <x:v>ENG.segregation_bridging_and_ratholing_in_bulk_solids</x:v>
      </x:c>
      <x:c r="N85" s="30" t="str">
        <x:v>Required: principle schematic or formula diagram</x:v>
      </x:c>
      <x:c r="O85" s="30" t="str">
        <x:v>Per frozen page-format standard</x:v>
      </x:c>
      <x:c r="P85" s="30" t="str">
        <x:v>Fundamental textbooks only — assign before drafting</x:v>
      </x:c>
      <x:c r="Q85" s="30" t="str">
        <x:v>Not started</x:v>
      </x:c>
      <x:c r="R85" s="30" t="str">
        <x:v>Not published</x:v>
      </x:c>
      <x:c r="S85" s="31" t="str">
        <x:v>New knowledge/data page; prepare only after editorial workflow is approved.</x:v>
      </x:c>
    </x:row>
    <x:row r="86" ht="42" customHeight="1">
      <x:c r="A86" s="50" t="str">
        <x:v>ICH-ENG-077</x:v>
      </x:c>
      <x:c r="B86" s="30" t="str">
        <x:v>Knowledge/data page</x:v>
      </x:c>
      <x:c r="C86" s="53" t="str">
        <x:v>Engineering</x:v>
      </x:c>
      <x:c r="D86" s="30" t="str">
        <x:v>Material Handling and Bulk Solids</x:v>
      </x:c>
      <x:c r="E86" s="30" t="str">
        <x:v>Storage Systems</x:v>
      </x:c>
      <x:c r="F86" s="30" t="str">
        <x:v>Silos and Bunkers</x:v>
      </x:c>
      <x:c r="G86" s="30" t="str">
        <x:v>Silo and Bunker Design Fundamentals</x:v>
      </x:c>
      <x:c r="H86" s="30" t="str">
        <x:v>Engineering &gt; Material Handling and Bulk Solids &gt; Storage Systems &gt; Silos and Bunkers &gt; Silo and Bunker Design Fundamentals</x:v>
      </x:c>
      <x:c r="I86" s="30" t="str">
        <x:v>—</x:v>
      </x:c>
      <x:c r="J86" s="30" t="str">
        <x:v>Planned — not started</x:v>
      </x:c>
      <x:c r="K86" s="30" t="str">
        <x:v>Engineering knowledge page</x:v>
      </x:c>
      <x:c r="L86" s="30" t="str">
        <x:v>Pending URL standard</x:v>
      </x:c>
      <x:c r="M86" s="30" t="str">
        <x:v>ENG.silo_and_bunker_design_fundamentals</x:v>
      </x:c>
      <x:c r="N86" s="30" t="str">
        <x:v>Required: principle schematic or formula diagram</x:v>
      </x:c>
      <x:c r="O86" s="30" t="str">
        <x:v>Per frozen page-format standard</x:v>
      </x:c>
      <x:c r="P86" s="30" t="str">
        <x:v>Fundamental textbooks only — assign before drafting</x:v>
      </x:c>
      <x:c r="Q86" s="30" t="str">
        <x:v>Not started</x:v>
      </x:c>
      <x:c r="R86" s="30" t="str">
        <x:v>Not published</x:v>
      </x:c>
      <x:c r="S86" s="31" t="str">
        <x:v>New knowledge/data page; prepare only after editorial workflow is approved.</x:v>
      </x:c>
    </x:row>
    <x:row r="87" ht="42" customHeight="1">
      <x:c r="A87" s="50" t="str">
        <x:v>ICH-ENG-078</x:v>
      </x:c>
      <x:c r="B87" s="30" t="str">
        <x:v>Knowledge/data page</x:v>
      </x:c>
      <x:c r="C87" s="53" t="str">
        <x:v>Engineering</x:v>
      </x:c>
      <x:c r="D87" s="30" t="str">
        <x:v>Material Handling and Bulk Solids</x:v>
      </x:c>
      <x:c r="E87" s="30" t="str">
        <x:v>Storage Systems</x:v>
      </x:c>
      <x:c r="F87" s="30" t="str">
        <x:v>Hoppers</x:v>
      </x:c>
      <x:c r="G87" s="30" t="str">
        <x:v>Hopper Design, Valley Angle and Material Flow</x:v>
      </x:c>
      <x:c r="H87" s="30" t="str">
        <x:v>Engineering &gt; Material Handling and Bulk Solids &gt; Storage Systems &gt; Hoppers &gt; Hopper Design, Valley Angle and Material Flow</x:v>
      </x:c>
      <x:c r="I87" s="30" t="str">
        <x:v>—</x:v>
      </x:c>
      <x:c r="J87" s="30" t="str">
        <x:v>Planned — not started</x:v>
      </x:c>
      <x:c r="K87" s="30" t="str">
        <x:v>Engineering knowledge page</x:v>
      </x:c>
      <x:c r="L87" s="30" t="str">
        <x:v>Pending URL standard</x:v>
      </x:c>
      <x:c r="M87" s="30" t="str">
        <x:v>ENG.hopper_design_valley_angle_and_material_flow</x:v>
      </x:c>
      <x:c r="N87" s="30" t="str">
        <x:v>Required: principle schematic or formula diagram</x:v>
      </x:c>
      <x:c r="O87" s="30" t="str">
        <x:v>Per frozen page-format standard</x:v>
      </x:c>
      <x:c r="P87" s="30" t="str">
        <x:v>Fundamental textbooks only — assign before drafting</x:v>
      </x:c>
      <x:c r="Q87" s="30" t="str">
        <x:v>Not started</x:v>
      </x:c>
      <x:c r="R87" s="30" t="str">
        <x:v>Not published</x:v>
      </x:c>
      <x:c r="S87" s="31" t="str">
        <x:v>New knowledge/data page; prepare only after editorial workflow is approved.</x:v>
      </x:c>
    </x:row>
    <x:row r="88" ht="42" customHeight="1">
      <x:c r="A88" s="50" t="str">
        <x:v>ICH-ENG-079</x:v>
      </x:c>
      <x:c r="B88" s="30" t="str">
        <x:v>Knowledge/data page</x:v>
      </x:c>
      <x:c r="C88" s="53" t="str">
        <x:v>Engineering</x:v>
      </x:c>
      <x:c r="D88" s="30" t="str">
        <x:v>Material Handling and Bulk Solids</x:v>
      </x:c>
      <x:c r="E88" s="30" t="str">
        <x:v>Conveying Principles</x:v>
      </x:c>
      <x:c r="F88" s="30" t="str">
        <x:v>Mechanical Conveying</x:v>
      </x:c>
      <x:c r="G88" s="30" t="str">
        <x:v>Belt, Screw, Chain and Bucket Elevator Conveying Basics</x:v>
      </x:c>
      <x:c r="H88" s="30" t="str">
        <x:v>Engineering &gt; Material Handling and Bulk Solids &gt; Conveying Principles &gt; Mechanical Conveying &gt; Belt, Screw, Chain and Bucket Elevator Conveying Basics</x:v>
      </x:c>
      <x:c r="I88" s="30" t="str">
        <x:v>—</x:v>
      </x:c>
      <x:c r="J88" s="30" t="str">
        <x:v>Planned — not started</x:v>
      </x:c>
      <x:c r="K88" s="30" t="str">
        <x:v>Engineering knowledge page</x:v>
      </x:c>
      <x:c r="L88" s="30" t="str">
        <x:v>Pending URL standard</x:v>
      </x:c>
      <x:c r="M88" s="30" t="str">
        <x:v>ENG.belt_screw_chain_and_bucket_elevator_conveying_basics</x:v>
      </x:c>
      <x:c r="N88" s="30" t="str">
        <x:v>Required: principle schematic or formula diagram</x:v>
      </x:c>
      <x:c r="O88" s="30" t="str">
        <x:v>Per frozen page-format standard</x:v>
      </x:c>
      <x:c r="P88" s="30" t="str">
        <x:v>Fundamental textbooks only — assign before drafting</x:v>
      </x:c>
      <x:c r="Q88" s="30" t="str">
        <x:v>Not started</x:v>
      </x:c>
      <x:c r="R88" s="30" t="str">
        <x:v>Not published</x:v>
      </x:c>
      <x:c r="S88" s="31" t="str">
        <x:v>New knowledge/data page; prepare only after editorial workflow is approved.</x:v>
      </x:c>
    </x:row>
    <x:row r="89" ht="42" customHeight="1">
      <x:c r="A89" s="50" t="str">
        <x:v>ICH-ENG-080</x:v>
      </x:c>
      <x:c r="B89" s="30" t="str">
        <x:v>Knowledge/data page</x:v>
      </x:c>
      <x:c r="C89" s="53" t="str">
        <x:v>Engineering</x:v>
      </x:c>
      <x:c r="D89" s="30" t="str">
        <x:v>Material Handling and Bulk Solids</x:v>
      </x:c>
      <x:c r="E89" s="30" t="str">
        <x:v>Conveying Principles</x:v>
      </x:c>
      <x:c r="F89" s="30" t="str">
        <x:v>Pneumatic Conveying</x:v>
      </x:c>
      <x:c r="G89" s="30" t="str">
        <x:v>Dilute Phase and Dense Phase Pneumatic Conveying</x:v>
      </x:c>
      <x:c r="H89" s="30" t="str">
        <x:v>Engineering &gt; Material Handling and Bulk Solids &gt; Conveying Principles &gt; Pneumatic Conveying &gt; Dilute Phase and Dense Phase Pneumatic Conveying</x:v>
      </x:c>
      <x:c r="I89" s="30" t="str">
        <x:v>—</x:v>
      </x:c>
      <x:c r="J89" s="30" t="str">
        <x:v>Planned — not started</x:v>
      </x:c>
      <x:c r="K89" s="30" t="str">
        <x:v>Engineering knowledge page</x:v>
      </x:c>
      <x:c r="L89" s="30" t="str">
        <x:v>Pending URL standard</x:v>
      </x:c>
      <x:c r="M89" s="30" t="str">
        <x:v>ENG.dilute_phase_and_dense_phase_pneumatic_conveying</x:v>
      </x:c>
      <x:c r="N89" s="30" t="str">
        <x:v>Required: principle schematic or formula diagram</x:v>
      </x:c>
      <x:c r="O89" s="30" t="str">
        <x:v>Per frozen page-format standard</x:v>
      </x:c>
      <x:c r="P89" s="30" t="str">
        <x:v>Fundamental textbooks only — assign before drafting</x:v>
      </x:c>
      <x:c r="Q89" s="30" t="str">
        <x:v>Not started</x:v>
      </x:c>
      <x:c r="R89" s="30" t="str">
        <x:v>Not published</x:v>
      </x:c>
      <x:c r="S89" s="31" t="str">
        <x:v>New knowledge/data page; prepare only after editorial workflow is approved.</x:v>
      </x:c>
    </x:row>
    <x:row r="90" ht="42" customHeight="1">
      <x:c r="A90" s="50" t="str">
        <x:v>ICH-ENG-081</x:v>
      </x:c>
      <x:c r="B90" s="30" t="str">
        <x:v>Knowledge/data page</x:v>
      </x:c>
      <x:c r="C90" s="53" t="str">
        <x:v>Engineering</x:v>
      </x:c>
      <x:c r="D90" s="30" t="str">
        <x:v>Material Handling and Bulk Solids</x:v>
      </x:c>
      <x:c r="E90" s="30" t="str">
        <x:v>Feeding and Discharge</x:v>
      </x:c>
      <x:c r="F90" s="30" t="str">
        <x:v>Feeders</x:v>
      </x:c>
      <x:c r="G90" s="30" t="str">
        <x:v>Belt, Screw, Apron and Vibratory Feeders</x:v>
      </x:c>
      <x:c r="H90" s="30" t="str">
        <x:v>Engineering &gt; Material Handling and Bulk Solids &gt; Feeding and Discharge &gt; Feeders &gt; Belt, Screw, Apron and Vibratory Feeders</x:v>
      </x:c>
      <x:c r="I90" s="30" t="str">
        <x:v>—</x:v>
      </x:c>
      <x:c r="J90" s="30" t="str">
        <x:v>Planned — not started</x:v>
      </x:c>
      <x:c r="K90" s="30" t="str">
        <x:v>Engineering knowledge page</x:v>
      </x:c>
      <x:c r="L90" s="30" t="str">
        <x:v>Pending URL standard</x:v>
      </x:c>
      <x:c r="M90" s="30" t="str">
        <x:v>ENG.belt_screw_apron_and_vibratory_feeders</x:v>
      </x:c>
      <x:c r="N90" s="30" t="str">
        <x:v>Required: principle schematic or formula diagram</x:v>
      </x:c>
      <x:c r="O90" s="30" t="str">
        <x:v>Per frozen page-format standard</x:v>
      </x:c>
      <x:c r="P90" s="30" t="str">
        <x:v>Fundamental textbooks only — assign before drafting</x:v>
      </x:c>
      <x:c r="Q90" s="30" t="str">
        <x:v>Not started</x:v>
      </x:c>
      <x:c r="R90" s="30" t="str">
        <x:v>Not published</x:v>
      </x:c>
      <x:c r="S90" s="31" t="str">
        <x:v>New knowledge/data page; prepare only after editorial workflow is approved.</x:v>
      </x:c>
    </x:row>
    <x:row r="91" ht="42" customHeight="1">
      <x:c r="A91" s="50" t="str">
        <x:v>ICH-ENG-082</x:v>
      </x:c>
      <x:c r="B91" s="30" t="str">
        <x:v>Knowledge/data page</x:v>
      </x:c>
      <x:c r="C91" s="53" t="str">
        <x:v>Engineering</x:v>
      </x:c>
      <x:c r="D91" s="30" t="str">
        <x:v>Material Handling and Bulk Solids</x:v>
      </x:c>
      <x:c r="E91" s="30" t="str">
        <x:v>Feeding and Discharge</x:v>
      </x:c>
      <x:c r="F91" s="30" t="str">
        <x:v>Flow Control</x:v>
      </x:c>
      <x:c r="G91" s="30" t="str">
        <x:v>Gates, Airlocks, Double Flap Valves and Rotary Air Valves</x:v>
      </x:c>
      <x:c r="H91" s="30" t="str">
        <x:v>Engineering &gt; Material Handling and Bulk Solids &gt; Feeding and Discharge &gt; Flow Control &gt; Gates, Airlocks, Double Flap Valves and Rotary Air Valves</x:v>
      </x:c>
      <x:c r="I91" s="30" t="str">
        <x:v>—</x:v>
      </x:c>
      <x:c r="J91" s="30" t="str">
        <x:v>Planned — not started</x:v>
      </x:c>
      <x:c r="K91" s="30" t="str">
        <x:v>Engineering knowledge page</x:v>
      </x:c>
      <x:c r="L91" s="30" t="str">
        <x:v>Pending URL standard</x:v>
      </x:c>
      <x:c r="M91" s="30" t="str">
        <x:v>ENG.gates_airlocks_double_flap_valves_and_rotary_air_valves</x:v>
      </x:c>
      <x:c r="N91" s="30" t="str">
        <x:v>Required: principle schematic or formula diagram</x:v>
      </x:c>
      <x:c r="O91" s="30" t="str">
        <x:v>Per frozen page-format standard</x:v>
      </x:c>
      <x:c r="P91" s="30" t="str">
        <x:v>Fundamental textbooks only — assign before drafting</x:v>
      </x:c>
      <x:c r="Q91" s="30" t="str">
        <x:v>Not started</x:v>
      </x:c>
      <x:c r="R91" s="30" t="str">
        <x:v>Not published</x:v>
      </x:c>
      <x:c r="S91" s="31" t="str">
        <x:v>New knowledge/data page; prepare only after editorial workflow is approved.</x:v>
      </x:c>
    </x:row>
    <x:row r="92" ht="42" customHeight="1">
      <x:c r="A92" s="50" t="str">
        <x:v>ICH-ENG-083</x:v>
      </x:c>
      <x:c r="B92" s="30" t="str">
        <x:v>Knowledge/data page</x:v>
      </x:c>
      <x:c r="C92" s="53" t="str">
        <x:v>Engineering</x:v>
      </x:c>
      <x:c r="D92" s="30" t="str">
        <x:v>Air Pollution Control and Environmental Engineering</x:v>
      </x:c>
      <x:c r="E92" s="30" t="str">
        <x:v>Air Pollutants</x:v>
      </x:c>
      <x:c r="F92" s="30" t="str">
        <x:v>Particulate Pollution</x:v>
      </x:c>
      <x:c r="G92" s="30" t="str">
        <x:v>Particulate Matter, Dust and Fly Ash</x:v>
      </x:c>
      <x:c r="H92" s="30" t="str">
        <x:v>Engineering &gt; Air Pollution Control and Environmental Engineering &gt; Air Pollutants &gt; Particulate Pollution &gt; Particulate Matter, Dust and Fly Ash</x:v>
      </x:c>
      <x:c r="I92" s="30" t="str">
        <x:v>—</x:v>
      </x:c>
      <x:c r="J92" s="30" t="str">
        <x:v>Planned — not started</x:v>
      </x:c>
      <x:c r="K92" s="30" t="str">
        <x:v>Engineering knowledge page</x:v>
      </x:c>
      <x:c r="L92" s="30" t="str">
        <x:v>Pending URL standard</x:v>
      </x:c>
      <x:c r="M92" s="30" t="str">
        <x:v>ENG.particulate_matter_dust_and_fly_ash</x:v>
      </x:c>
      <x:c r="N92" s="30" t="str">
        <x:v>Required: principle schematic or formula diagram</x:v>
      </x:c>
      <x:c r="O92" s="30" t="str">
        <x:v>Per frozen page-format standard</x:v>
      </x:c>
      <x:c r="P92" s="30" t="str">
        <x:v>Fundamental textbooks only — assign before drafting</x:v>
      </x:c>
      <x:c r="Q92" s="30" t="str">
        <x:v>Not started</x:v>
      </x:c>
      <x:c r="R92" s="30" t="str">
        <x:v>Not published</x:v>
      </x:c>
      <x:c r="S92" s="31" t="str">
        <x:v>New knowledge/data page; prepare only after editorial workflow is approved.</x:v>
      </x:c>
    </x:row>
    <x:row r="93" ht="42" customHeight="1">
      <x:c r="A93" s="50" t="str">
        <x:v>ICH-ENG-084</x:v>
      </x:c>
      <x:c r="B93" s="30" t="str">
        <x:v>Knowledge/data page</x:v>
      </x:c>
      <x:c r="C93" s="53" t="str">
        <x:v>Engineering</x:v>
      </x:c>
      <x:c r="D93" s="30" t="str">
        <x:v>Air Pollution Control and Environmental Engineering</x:v>
      </x:c>
      <x:c r="E93" s="30" t="str">
        <x:v>Air Pollutants</x:v>
      </x:c>
      <x:c r="F93" s="30" t="str">
        <x:v>Gaseous Pollution</x:v>
      </x:c>
      <x:c r="G93" s="30" t="str">
        <x:v>SOx, NOx, VOCs and Industrial Gas Pollutants</x:v>
      </x:c>
      <x:c r="H93" s="30" t="str">
        <x:v>Engineering &gt; Air Pollution Control and Environmental Engineering &gt; Air Pollutants &gt; Gaseous Pollution &gt; SOx, NOx, VOCs and Industrial Gas Pollutants</x:v>
      </x:c>
      <x:c r="I93" s="30" t="str">
        <x:v>—</x:v>
      </x:c>
      <x:c r="J93" s="30" t="str">
        <x:v>Planned — not started</x:v>
      </x:c>
      <x:c r="K93" s="30" t="str">
        <x:v>Engineering knowledge page</x:v>
      </x:c>
      <x:c r="L93" s="30" t="str">
        <x:v>Pending URL standard</x:v>
      </x:c>
      <x:c r="M93" s="30" t="str">
        <x:v>ENG.sox_nox_vocs_and_industrial_gas_pollutants</x:v>
      </x:c>
      <x:c r="N93" s="30" t="str">
        <x:v>Required: principle schematic or formula diagram</x:v>
      </x:c>
      <x:c r="O93" s="30" t="str">
        <x:v>Per frozen page-format standard</x:v>
      </x:c>
      <x:c r="P93" s="30" t="str">
        <x:v>Fundamental textbooks only — assign before drafting</x:v>
      </x:c>
      <x:c r="Q93" s="30" t="str">
        <x:v>Not started</x:v>
      </x:c>
      <x:c r="R93" s="30" t="str">
        <x:v>Not published</x:v>
      </x:c>
      <x:c r="S93" s="31" t="str">
        <x:v>New knowledge/data page; prepare only after editorial workflow is approved.</x:v>
      </x:c>
    </x:row>
    <x:row r="94" ht="42" customHeight="1">
      <x:c r="A94" s="50" t="str">
        <x:v>ICH-ENG-085</x:v>
      </x:c>
      <x:c r="B94" s="30" t="str">
        <x:v>Knowledge/data page</x:v>
      </x:c>
      <x:c r="C94" s="53" t="str">
        <x:v>Engineering</x:v>
      </x:c>
      <x:c r="D94" s="30" t="str">
        <x:v>Air Pollution Control and Environmental Engineering</x:v>
      </x:c>
      <x:c r="E94" s="30" t="str">
        <x:v>Particulate Collection</x:v>
      </x:c>
      <x:c r="F94" s="30" t="str">
        <x:v>Electrostatic Precipitators</x:v>
      </x:c>
      <x:c r="G94" s="30" t="str">
        <x:v>Electrostatic Precipitator: Working Principle and Components</x:v>
      </x:c>
      <x:c r="H94" s="30" t="str">
        <x:v>Engineering &gt; Air Pollution Control and Environmental Engineering &gt; Particulate Collection &gt; Electrostatic Precipitators &gt; Electrostatic Precipitator: Working Principle and Components</x:v>
      </x:c>
      <x:c r="I94" s="30" t="str">
        <x:v>—</x:v>
      </x:c>
      <x:c r="J94" s="30" t="str">
        <x:v>Planned — not started</x:v>
      </x:c>
      <x:c r="K94" s="30" t="str">
        <x:v>Engineering knowledge page</x:v>
      </x:c>
      <x:c r="L94" s="30" t="str">
        <x:v>Pending URL standard</x:v>
      </x:c>
      <x:c r="M94" s="30" t="str">
        <x:v>ENG.electrostatic_precipitator_working_principle_and_components</x:v>
      </x:c>
      <x:c r="N94" s="30" t="str">
        <x:v>Required: principle schematic or formula diagram</x:v>
      </x:c>
      <x:c r="O94" s="30" t="str">
        <x:v>Per frozen page-format standard</x:v>
      </x:c>
      <x:c r="P94" s="30" t="str">
        <x:v>Fundamental textbooks only — assign before drafting</x:v>
      </x:c>
      <x:c r="Q94" s="30" t="str">
        <x:v>Not started</x:v>
      </x:c>
      <x:c r="R94" s="30" t="str">
        <x:v>Not published</x:v>
      </x:c>
      <x:c r="S94" s="31" t="str">
        <x:v>New knowledge/data page; prepare only after editorial workflow is approved.</x:v>
      </x:c>
    </x:row>
    <x:row r="95" ht="42" customHeight="1">
      <x:c r="A95" s="50" t="str">
        <x:v>ICH-ENG-086</x:v>
      </x:c>
      <x:c r="B95" s="30" t="str">
        <x:v>Knowledge/data page</x:v>
      </x:c>
      <x:c r="C95" s="53" t="str">
        <x:v>Engineering</x:v>
      </x:c>
      <x:c r="D95" s="30" t="str">
        <x:v>Air Pollution Control and Environmental Engineering</x:v>
      </x:c>
      <x:c r="E95" s="30" t="str">
        <x:v>Particulate Collection</x:v>
      </x:c>
      <x:c r="F95" s="30" t="str">
        <x:v>Bag Filters</x:v>
      </x:c>
      <x:c r="G95" s="30" t="str">
        <x:v>Bag Filter: Working Principle and Components</x:v>
      </x:c>
      <x:c r="H95" s="30" t="str">
        <x:v>Engineering &gt; Air Pollution Control and Environmental Engineering &gt; Particulate Collection &gt; Bag Filters &gt; Bag Filter: Working Principle and Components</x:v>
      </x:c>
      <x:c r="I95" s="30" t="str">
        <x:v>—</x:v>
      </x:c>
      <x:c r="J95" s="30" t="str">
        <x:v>Planned — not started</x:v>
      </x:c>
      <x:c r="K95" s="30" t="str">
        <x:v>Engineering knowledge page</x:v>
      </x:c>
      <x:c r="L95" s="30" t="str">
        <x:v>Pending URL standard</x:v>
      </x:c>
      <x:c r="M95" s="30" t="str">
        <x:v>ENG.bag_filter_working_principle_and_components</x:v>
      </x:c>
      <x:c r="N95" s="30" t="str">
        <x:v>Required: principle schematic or formula diagram</x:v>
      </x:c>
      <x:c r="O95" s="30" t="str">
        <x:v>Per frozen page-format standard</x:v>
      </x:c>
      <x:c r="P95" s="30" t="str">
        <x:v>Fundamental textbooks only — assign before drafting</x:v>
      </x:c>
      <x:c r="Q95" s="30" t="str">
        <x:v>Not started</x:v>
      </x:c>
      <x:c r="R95" s="30" t="str">
        <x:v>Not published</x:v>
      </x:c>
      <x:c r="S95" s="31" t="str">
        <x:v>New knowledge/data page; prepare only after editorial workflow is approved.</x:v>
      </x:c>
    </x:row>
    <x:row r="96" ht="42" customHeight="1">
      <x:c r="A96" s="50" t="str">
        <x:v>ICH-ENG-087</x:v>
      </x:c>
      <x:c r="B96" s="30" t="str">
        <x:v>Knowledge/data page</x:v>
      </x:c>
      <x:c r="C96" s="53" t="str">
        <x:v>Engineering</x:v>
      </x:c>
      <x:c r="D96" s="30" t="str">
        <x:v>Air Pollution Control and Environmental Engineering</x:v>
      </x:c>
      <x:c r="E96" s="30" t="str">
        <x:v>Particulate Collection</x:v>
      </x:c>
      <x:c r="F96" s="30" t="str">
        <x:v>Mechanical Collectors</x:v>
      </x:c>
      <x:c r="G96" s="30" t="str">
        <x:v>Cyclone Separator: Working Principle and Applications</x:v>
      </x:c>
      <x:c r="H96" s="30" t="str">
        <x:v>Engineering &gt; Air Pollution Control and Environmental Engineering &gt; Particulate Collection &gt; Mechanical Collectors &gt; Cyclone Separator: Working Principle and Applications</x:v>
      </x:c>
      <x:c r="I96" s="30" t="str">
        <x:v>—</x:v>
      </x:c>
      <x:c r="J96" s="30" t="str">
        <x:v>Planned — not started</x:v>
      </x:c>
      <x:c r="K96" s="30" t="str">
        <x:v>Engineering knowledge page</x:v>
      </x:c>
      <x:c r="L96" s="30" t="str">
        <x:v>Pending URL standard</x:v>
      </x:c>
      <x:c r="M96" s="30" t="str">
        <x:v>ENG.cyclone_separator_working_principle_and_applications</x:v>
      </x:c>
      <x:c r="N96" s="30" t="str">
        <x:v>Required: principle schematic or formula diagram</x:v>
      </x:c>
      <x:c r="O96" s="30" t="str">
        <x:v>Per frozen page-format standard</x:v>
      </x:c>
      <x:c r="P96" s="30" t="str">
        <x:v>Fundamental textbooks only — assign before drafting</x:v>
      </x:c>
      <x:c r="Q96" s="30" t="str">
        <x:v>Not started</x:v>
      </x:c>
      <x:c r="R96" s="30" t="str">
        <x:v>Not published</x:v>
      </x:c>
      <x:c r="S96" s="31" t="str">
        <x:v>New knowledge/data page; prepare only after editorial workflow is approved.</x:v>
      </x:c>
    </x:row>
    <x:row r="97" ht="42" customHeight="1">
      <x:c r="A97" s="50" t="str">
        <x:v>ICH-ENG-088</x:v>
      </x:c>
      <x:c r="B97" s="30" t="str">
        <x:v>Knowledge/data page</x:v>
      </x:c>
      <x:c r="C97" s="53" t="str">
        <x:v>Engineering</x:v>
      </x:c>
      <x:c r="D97" s="30" t="str">
        <x:v>Air Pollution Control and Environmental Engineering</x:v>
      </x:c>
      <x:c r="E97" s="30" t="str">
        <x:v>Gas Treatment</x:v>
      </x:c>
      <x:c r="F97" s="30" t="str">
        <x:v>FGD</x:v>
      </x:c>
      <x:c r="G97" s="30" t="str">
        <x:v>Flue Gas Desulfurization: Process and Equipment</x:v>
      </x:c>
      <x:c r="H97" s="30" t="str">
        <x:v>Engineering &gt; Air Pollution Control and Environmental Engineering &gt; Gas Treatment &gt; FGD &gt; Flue Gas Desulfurization: Process and Equipment</x:v>
      </x:c>
      <x:c r="I97" s="30" t="str">
        <x:v>—</x:v>
      </x:c>
      <x:c r="J97" s="30" t="str">
        <x:v>Planned — not started</x:v>
      </x:c>
      <x:c r="K97" s="30" t="str">
        <x:v>Engineering knowledge page</x:v>
      </x:c>
      <x:c r="L97" s="30" t="str">
        <x:v>Pending URL standard</x:v>
      </x:c>
      <x:c r="M97" s="30" t="str">
        <x:v>ENG.flue_gas_desulfurization_process_and_equipment</x:v>
      </x:c>
      <x:c r="N97" s="30" t="str">
        <x:v>Required: principle schematic or formula diagram</x:v>
      </x:c>
      <x:c r="O97" s="30" t="str">
        <x:v>Per frozen page-format standard</x:v>
      </x:c>
      <x:c r="P97" s="30" t="str">
        <x:v>Fundamental textbooks only — assign before drafting</x:v>
      </x:c>
      <x:c r="Q97" s="30" t="str">
        <x:v>Not started</x:v>
      </x:c>
      <x:c r="R97" s="30" t="str">
        <x:v>Not published</x:v>
      </x:c>
      <x:c r="S97" s="31" t="str">
        <x:v>New knowledge/data page; prepare only after editorial workflow is approved.</x:v>
      </x:c>
    </x:row>
    <x:row r="98" ht="42" customHeight="1">
      <x:c r="A98" s="50" t="str">
        <x:v>ICH-ENG-089</x:v>
      </x:c>
      <x:c r="B98" s="30" t="str">
        <x:v>Knowledge/data page</x:v>
      </x:c>
      <x:c r="C98" s="53" t="str">
        <x:v>Engineering</x:v>
      </x:c>
      <x:c r="D98" s="30" t="str">
        <x:v>Air Pollution Control and Environmental Engineering</x:v>
      </x:c>
      <x:c r="E98" s="30" t="str">
        <x:v>Gas Treatment</x:v>
      </x:c>
      <x:c r="F98" s="30" t="str">
        <x:v>DeNOx</x:v>
      </x:c>
      <x:c r="G98" s="30" t="str">
        <x:v>SCR and SNCR: NOx Control Fundamentals</x:v>
      </x:c>
      <x:c r="H98" s="30" t="str">
        <x:v>Engineering &gt; Air Pollution Control and Environmental Engineering &gt; Gas Treatment &gt; DeNOx &gt; SCR and SNCR: NOx Control Fundamentals</x:v>
      </x:c>
      <x:c r="I98" s="30" t="str">
        <x:v>—</x:v>
      </x:c>
      <x:c r="J98" s="30" t="str">
        <x:v>Planned — not started</x:v>
      </x:c>
      <x:c r="K98" s="30" t="str">
        <x:v>Engineering knowledge page</x:v>
      </x:c>
      <x:c r="L98" s="30" t="str">
        <x:v>Pending URL standard</x:v>
      </x:c>
      <x:c r="M98" s="30" t="str">
        <x:v>ENG.scr_and_sncr_nox_control_fundamentals</x:v>
      </x:c>
      <x:c r="N98" s="30" t="str">
        <x:v>Required: principle schematic or formula diagram</x:v>
      </x:c>
      <x:c r="O98" s="30" t="str">
        <x:v>Per frozen page-format standard</x:v>
      </x:c>
      <x:c r="P98" s="30" t="str">
        <x:v>Fundamental textbooks only — assign before drafting</x:v>
      </x:c>
      <x:c r="Q98" s="30" t="str">
        <x:v>Not started</x:v>
      </x:c>
      <x:c r="R98" s="30" t="str">
        <x:v>Not published</x:v>
      </x:c>
      <x:c r="S98" s="31" t="str">
        <x:v>New knowledge/data page; prepare only after editorial workflow is approved.</x:v>
      </x:c>
    </x:row>
    <x:row r="99" ht="42" customHeight="1">
      <x:c r="A99" s="50" t="str">
        <x:v>ICH-ENG-090</x:v>
      </x:c>
      <x:c r="B99" s="30" t="str">
        <x:v>Knowledge/data page</x:v>
      </x:c>
      <x:c r="C99" s="53" t="str">
        <x:v>Engineering</x:v>
      </x:c>
      <x:c r="D99" s="30" t="str">
        <x:v>Air Pollution Control and Environmental Engineering</x:v>
      </x:c>
      <x:c r="E99" s="30" t="str">
        <x:v>Emission Monitoring</x:v>
      </x:c>
      <x:c r="F99" s="30" t="str">
        <x:v>CEMS</x:v>
      </x:c>
      <x:c r="G99" s="30" t="str">
        <x:v>Continuous Emission Monitoring System: Basics and Components</x:v>
      </x:c>
      <x:c r="H99" s="30" t="str">
        <x:v>Engineering &gt; Air Pollution Control and Environmental Engineering &gt; Emission Monitoring &gt; CEMS &gt; Continuous Emission Monitoring System: Basics and Components</x:v>
      </x:c>
      <x:c r="I99" s="30" t="str">
        <x:v>—</x:v>
      </x:c>
      <x:c r="J99" s="30" t="str">
        <x:v>Planned — not started</x:v>
      </x:c>
      <x:c r="K99" s="30" t="str">
        <x:v>Engineering knowledge page</x:v>
      </x:c>
      <x:c r="L99" s="30" t="str">
        <x:v>Pending URL standard</x:v>
      </x:c>
      <x:c r="M99" s="30" t="str">
        <x:v>ENG.continuous_emission_monitoring_system_basics_and_components</x:v>
      </x:c>
      <x:c r="N99" s="30" t="str">
        <x:v>Required: principle schematic or formula diagram</x:v>
      </x:c>
      <x:c r="O99" s="30" t="str">
        <x:v>Per frozen page-format standard</x:v>
      </x:c>
      <x:c r="P99" s="30" t="str">
        <x:v>Fundamental textbooks only — assign before drafting</x:v>
      </x:c>
      <x:c r="Q99" s="30" t="str">
        <x:v>Not started</x:v>
      </x:c>
      <x:c r="R99" s="30" t="str">
        <x:v>Not published</x:v>
      </x:c>
      <x:c r="S99" s="31" t="str">
        <x:v>New knowledge/data page; prepare only after editorial workflow is approved.</x:v>
      </x:c>
    </x:row>
    <x:row r="100" ht="42" customHeight="1">
      <x:c r="A100" s="50" t="str">
        <x:v>ICH-ENG-091</x:v>
      </x:c>
      <x:c r="B100" s="30" t="str">
        <x:v>Knowledge/data page</x:v>
      </x:c>
      <x:c r="C100" s="53" t="str">
        <x:v>Engineering</x:v>
      </x:c>
      <x:c r="D100" s="30" t="str">
        <x:v>Water and Wastewater Engineering</x:v>
      </x:c>
      <x:c r="E100" s="30" t="str">
        <x:v>Industrial Water Treatment</x:v>
      </x:c>
      <x:c r="F100" s="30" t="str">
        <x:v>Pretreatment</x:v>
      </x:c>
      <x:c r="G100" s="30" t="str">
        <x:v>Clarification, Filtration and Softening</x:v>
      </x:c>
      <x:c r="H100" s="30" t="str">
        <x:v>Engineering &gt; Water and Wastewater Engineering &gt; Industrial Water Treatment &gt; Pretreatment &gt; Clarification, Filtration and Softening</x:v>
      </x:c>
      <x:c r="I100" s="30" t="str">
        <x:v>—</x:v>
      </x:c>
      <x:c r="J100" s="30" t="str">
        <x:v>Planned — not started</x:v>
      </x:c>
      <x:c r="K100" s="30" t="str">
        <x:v>Engineering knowledge page</x:v>
      </x:c>
      <x:c r="L100" s="30" t="str">
        <x:v>Pending URL standard</x:v>
      </x:c>
      <x:c r="M100" s="30" t="str">
        <x:v>ENG.clarification_filtration_and_softening</x:v>
      </x:c>
      <x:c r="N100" s="30" t="str">
        <x:v>Required: principle schematic or formula diagram</x:v>
      </x:c>
      <x:c r="O100" s="30" t="str">
        <x:v>Per frozen page-format standard</x:v>
      </x:c>
      <x:c r="P100" s="30" t="str">
        <x:v>Fundamental textbooks only — assign before drafting</x:v>
      </x:c>
      <x:c r="Q100" s="30" t="str">
        <x:v>Not started</x:v>
      </x:c>
      <x:c r="R100" s="30" t="str">
        <x:v>Not published</x:v>
      </x:c>
      <x:c r="S100" s="31" t="str">
        <x:v>New knowledge/data page; prepare only after editorial workflow is approved.</x:v>
      </x:c>
    </x:row>
    <x:row r="101" ht="42" customHeight="1">
      <x:c r="A101" s="50" t="str">
        <x:v>ICH-ENG-092</x:v>
      </x:c>
      <x:c r="B101" s="30" t="str">
        <x:v>Knowledge/data page</x:v>
      </x:c>
      <x:c r="C101" s="53" t="str">
        <x:v>Engineering</x:v>
      </x:c>
      <x:c r="D101" s="30" t="str">
        <x:v>Water and Wastewater Engineering</x:v>
      </x:c>
      <x:c r="E101" s="30" t="str">
        <x:v>Industrial Water Treatment</x:v>
      </x:c>
      <x:c r="F101" s="30" t="str">
        <x:v>Demineralization and RO</x:v>
      </x:c>
      <x:c r="G101" s="30" t="str">
        <x:v>RO and DM Water Systems: Working Principles</x:v>
      </x:c>
      <x:c r="H101" s="30" t="str">
        <x:v>Engineering &gt; Water and Wastewater Engineering &gt; Industrial Water Treatment &gt; Demineralization and RO &gt; RO and DM Water Systems: Working Principles</x:v>
      </x:c>
      <x:c r="I101" s="30" t="str">
        <x:v>—</x:v>
      </x:c>
      <x:c r="J101" s="30" t="str">
        <x:v>Planned — not started</x:v>
      </x:c>
      <x:c r="K101" s="30" t="str">
        <x:v>Engineering knowledge page</x:v>
      </x:c>
      <x:c r="L101" s="30" t="str">
        <x:v>Pending URL standard</x:v>
      </x:c>
      <x:c r="M101" s="30" t="str">
        <x:v>ENG.ro_and_dm_water_systems_working_principles</x:v>
      </x:c>
      <x:c r="N101" s="30" t="str">
        <x:v>Required: principle schematic or formula diagram</x:v>
      </x:c>
      <x:c r="O101" s="30" t="str">
        <x:v>Per frozen page-format standard</x:v>
      </x:c>
      <x:c r="P101" s="30" t="str">
        <x:v>Fundamental textbooks only — assign before drafting</x:v>
      </x:c>
      <x:c r="Q101" s="30" t="str">
        <x:v>Not started</x:v>
      </x:c>
      <x:c r="R101" s="30" t="str">
        <x:v>Not published</x:v>
      </x:c>
      <x:c r="S101" s="31" t="str">
        <x:v>New knowledge/data page; prepare only after editorial workflow is approved.</x:v>
      </x:c>
    </x:row>
    <x:row r="102" ht="42" customHeight="1">
      <x:c r="A102" s="50" t="str">
        <x:v>ICH-ENG-093</x:v>
      </x:c>
      <x:c r="B102" s="30" t="str">
        <x:v>Knowledge/data page</x:v>
      </x:c>
      <x:c r="C102" s="53" t="str">
        <x:v>Engineering</x:v>
      </x:c>
      <x:c r="D102" s="30" t="str">
        <x:v>Water and Wastewater Engineering</x:v>
      </x:c>
      <x:c r="E102" s="30" t="str">
        <x:v>Wastewater Treatment</x:v>
      </x:c>
      <x:c r="F102" s="30" t="str">
        <x:v>Effluent Treatment</x:v>
      </x:c>
      <x:c r="G102" s="30" t="str">
        <x:v>ETP: Process Stages and Equipment</x:v>
      </x:c>
      <x:c r="H102" s="30" t="str">
        <x:v>Engineering &gt; Water and Wastewater Engineering &gt; Wastewater Treatment &gt; Effluent Treatment &gt; ETP: Process Stages and Equipment</x:v>
      </x:c>
      <x:c r="I102" s="30" t="str">
        <x:v>—</x:v>
      </x:c>
      <x:c r="J102" s="30" t="str">
        <x:v>Planned — not started</x:v>
      </x:c>
      <x:c r="K102" s="30" t="str">
        <x:v>Engineering knowledge page</x:v>
      </x:c>
      <x:c r="L102" s="30" t="str">
        <x:v>Pending URL standard</x:v>
      </x:c>
      <x:c r="M102" s="30" t="str">
        <x:v>ENG.etp_process_stages_and_equipment</x:v>
      </x:c>
      <x:c r="N102" s="30" t="str">
        <x:v>Required: principle schematic or formula diagram</x:v>
      </x:c>
      <x:c r="O102" s="30" t="str">
        <x:v>Per frozen page-format standard</x:v>
      </x:c>
      <x:c r="P102" s="30" t="str">
        <x:v>Fundamental textbooks only — assign before drafting</x:v>
      </x:c>
      <x:c r="Q102" s="30" t="str">
        <x:v>Not started</x:v>
      </x:c>
      <x:c r="R102" s="30" t="str">
        <x:v>Not published</x:v>
      </x:c>
      <x:c r="S102" s="31" t="str">
        <x:v>New knowledge/data page; prepare only after editorial workflow is approved.</x:v>
      </x:c>
    </x:row>
    <x:row r="103" ht="42" customHeight="1">
      <x:c r="A103" s="50" t="str">
        <x:v>ICH-ENG-094</x:v>
      </x:c>
      <x:c r="B103" s="30" t="str">
        <x:v>Knowledge/data page</x:v>
      </x:c>
      <x:c r="C103" s="53" t="str">
        <x:v>Engineering</x:v>
      </x:c>
      <x:c r="D103" s="30" t="str">
        <x:v>Water and Wastewater Engineering</x:v>
      </x:c>
      <x:c r="E103" s="30" t="str">
        <x:v>Wastewater Treatment</x:v>
      </x:c>
      <x:c r="F103" s="30" t="str">
        <x:v>Sewage Treatment</x:v>
      </x:c>
      <x:c r="G103" s="30" t="str">
        <x:v>STP: Process Stages and Equipment</x:v>
      </x:c>
      <x:c r="H103" s="30" t="str">
        <x:v>Engineering &gt; Water and Wastewater Engineering &gt; Wastewater Treatment &gt; Sewage Treatment &gt; STP: Process Stages and Equipment</x:v>
      </x:c>
      <x:c r="I103" s="30" t="str">
        <x:v>—</x:v>
      </x:c>
      <x:c r="J103" s="30" t="str">
        <x:v>Planned — not started</x:v>
      </x:c>
      <x:c r="K103" s="30" t="str">
        <x:v>Engineering knowledge page</x:v>
      </x:c>
      <x:c r="L103" s="30" t="str">
        <x:v>Pending URL standard</x:v>
      </x:c>
      <x:c r="M103" s="30" t="str">
        <x:v>ENG.stp_process_stages_and_equipment</x:v>
      </x:c>
      <x:c r="N103" s="30" t="str">
        <x:v>Required: principle schematic or formula diagram</x:v>
      </x:c>
      <x:c r="O103" s="30" t="str">
        <x:v>Per frozen page-format standard</x:v>
      </x:c>
      <x:c r="P103" s="30" t="str">
        <x:v>Fundamental textbooks only — assign before drafting</x:v>
      </x:c>
      <x:c r="Q103" s="30" t="str">
        <x:v>Not started</x:v>
      </x:c>
      <x:c r="R103" s="30" t="str">
        <x:v>Not published</x:v>
      </x:c>
      <x:c r="S103" s="31" t="str">
        <x:v>New knowledge/data page; prepare only after editorial workflow is approved.</x:v>
      </x:c>
    </x:row>
    <x:row r="104" ht="42" customHeight="1">
      <x:c r="A104" s="50" t="str">
        <x:v>ICH-ENG-095</x:v>
      </x:c>
      <x:c r="B104" s="30" t="str">
        <x:v>Knowledge/data page</x:v>
      </x:c>
      <x:c r="C104" s="53" t="str">
        <x:v>Engineering</x:v>
      </x:c>
      <x:c r="D104" s="30" t="str">
        <x:v>Water and Wastewater Engineering</x:v>
      </x:c>
      <x:c r="E104" s="30" t="str">
        <x:v>Plant Water Systems</x:v>
      </x:c>
      <x:c r="F104" s="30" t="str">
        <x:v>Cooling Water</x:v>
      </x:c>
      <x:c r="G104" s="30" t="str">
        <x:v>Cooling Water Treatment and Blowdown Basics</x:v>
      </x:c>
      <x:c r="H104" s="30" t="str">
        <x:v>Engineering &gt; Water and Wastewater Engineering &gt; Plant Water Systems &gt; Cooling Water &gt; Cooling Water Treatment and Blowdown Basics</x:v>
      </x:c>
      <x:c r="I104" s="30" t="str">
        <x:v>—</x:v>
      </x:c>
      <x:c r="J104" s="30" t="str">
        <x:v>Planned — not started</x:v>
      </x:c>
      <x:c r="K104" s="30" t="str">
        <x:v>Engineering knowledge page</x:v>
      </x:c>
      <x:c r="L104" s="30" t="str">
        <x:v>Pending URL standard</x:v>
      </x:c>
      <x:c r="M104" s="30" t="str">
        <x:v>ENG.cooling_water_treatment_and_blowdown_basics</x:v>
      </x:c>
      <x:c r="N104" s="30" t="str">
        <x:v>Required: principle schematic or formula diagram</x:v>
      </x:c>
      <x:c r="O104" s="30" t="str">
        <x:v>Per frozen page-format standard</x:v>
      </x:c>
      <x:c r="P104" s="30" t="str">
        <x:v>Fundamental textbooks only — assign before drafting</x:v>
      </x:c>
      <x:c r="Q104" s="30" t="str">
        <x:v>Not started</x:v>
      </x:c>
      <x:c r="R104" s="30" t="str">
        <x:v>Not published</x:v>
      </x:c>
      <x:c r="S104" s="31" t="str">
        <x:v>New knowledge/data page; prepare only after editorial workflow is approved.</x:v>
      </x:c>
    </x:row>
    <x:row r="105" ht="42" customHeight="1">
      <x:c r="A105" s="50" t="str">
        <x:v>ICH-ENG-096</x:v>
      </x:c>
      <x:c r="B105" s="30" t="str">
        <x:v>Knowledge/data page</x:v>
      </x:c>
      <x:c r="C105" s="53" t="str">
        <x:v>Engineering</x:v>
      </x:c>
      <x:c r="D105" s="30" t="str">
        <x:v>Materials of Construction</x:v>
      </x:c>
      <x:c r="E105" s="30" t="str">
        <x:v>Metallic Materials</x:v>
      </x:c>
      <x:c r="F105" s="30" t="str">
        <x:v>Carbon and Alloy Steels</x:v>
      </x:c>
      <x:c r="G105" s="30" t="str">
        <x:v>Carbon Steel and Alloy Steel: Properties and Applications</x:v>
      </x:c>
      <x:c r="H105" s="30" t="str">
        <x:v>Engineering &gt; Materials of Construction &gt; Metallic Materials &gt; Carbon and Alloy Steels &gt; Carbon Steel and Alloy Steel: Properties and Applications</x:v>
      </x:c>
      <x:c r="I105" s="30" t="str">
        <x:v>—</x:v>
      </x:c>
      <x:c r="J105" s="30" t="str">
        <x:v>Planned — not started</x:v>
      </x:c>
      <x:c r="K105" s="30" t="str">
        <x:v>Engineering knowledge page</x:v>
      </x:c>
      <x:c r="L105" s="30" t="str">
        <x:v>Pending URL standard</x:v>
      </x:c>
      <x:c r="M105" s="30" t="str">
        <x:v>ENG.carbon_steel_and_alloy_steel_properties_and_applications</x:v>
      </x:c>
      <x:c r="N105" s="30" t="str">
        <x:v>Required: principle schematic or formula diagram</x:v>
      </x:c>
      <x:c r="O105" s="30" t="str">
        <x:v>Per frozen page-format standard</x:v>
      </x:c>
      <x:c r="P105" s="30" t="str">
        <x:v>Fundamental textbooks only — assign before drafting</x:v>
      </x:c>
      <x:c r="Q105" s="30" t="str">
        <x:v>Not started</x:v>
      </x:c>
      <x:c r="R105" s="30" t="str">
        <x:v>Not published</x:v>
      </x:c>
      <x:c r="S105" s="31" t="str">
        <x:v>New knowledge/data page; prepare only after editorial workflow is approved.</x:v>
      </x:c>
    </x:row>
    <x:row r="106" ht="42" customHeight="1">
      <x:c r="A106" s="50" t="str">
        <x:v>ICH-ENG-097</x:v>
      </x:c>
      <x:c r="B106" s="30" t="str">
        <x:v>Knowledge/data page</x:v>
      </x:c>
      <x:c r="C106" s="53" t="str">
        <x:v>Engineering</x:v>
      </x:c>
      <x:c r="D106" s="30" t="str">
        <x:v>Materials of Construction</x:v>
      </x:c>
      <x:c r="E106" s="30" t="str">
        <x:v>Metallic Materials</x:v>
      </x:c>
      <x:c r="F106" s="30" t="str">
        <x:v>Stainless Steels</x:v>
      </x:c>
      <x:c r="G106" s="30" t="str">
        <x:v>Stainless Steel: Grades, Properties and Applications</x:v>
      </x:c>
      <x:c r="H106" s="30" t="str">
        <x:v>Engineering &gt; Materials of Construction &gt; Metallic Materials &gt; Stainless Steels &gt; Stainless Steel: Grades, Properties and Applications</x:v>
      </x:c>
      <x:c r="I106" s="30" t="str">
        <x:v>—</x:v>
      </x:c>
      <x:c r="J106" s="30" t="str">
        <x:v>Planned — not started</x:v>
      </x:c>
      <x:c r="K106" s="30" t="str">
        <x:v>Engineering knowledge page</x:v>
      </x:c>
      <x:c r="L106" s="30" t="str">
        <x:v>Pending URL standard</x:v>
      </x:c>
      <x:c r="M106" s="30" t="str">
        <x:v>ENG.stainless_steel_grades_properties_and_applications</x:v>
      </x:c>
      <x:c r="N106" s="30" t="str">
        <x:v>Required: principle schematic or formula diagram</x:v>
      </x:c>
      <x:c r="O106" s="30" t="str">
        <x:v>Per frozen page-format standard</x:v>
      </x:c>
      <x:c r="P106" s="30" t="str">
        <x:v>Fundamental textbooks only — assign before drafting</x:v>
      </x:c>
      <x:c r="Q106" s="30" t="str">
        <x:v>Not started</x:v>
      </x:c>
      <x:c r="R106" s="30" t="str">
        <x:v>Not published</x:v>
      </x:c>
      <x:c r="S106" s="31" t="str">
        <x:v>New knowledge/data page; prepare only after editorial workflow is approved.</x:v>
      </x:c>
    </x:row>
    <x:row r="107" ht="42" customHeight="1">
      <x:c r="A107" s="50" t="str">
        <x:v>ICH-ENG-098</x:v>
      </x:c>
      <x:c r="B107" s="30" t="str">
        <x:v>Knowledge/data page</x:v>
      </x:c>
      <x:c r="C107" s="53" t="str">
        <x:v>Engineering</x:v>
      </x:c>
      <x:c r="D107" s="30" t="str">
        <x:v>Materials of Construction</x:v>
      </x:c>
      <x:c r="E107" s="30" t="str">
        <x:v>Metallic Materials</x:v>
      </x:c>
      <x:c r="F107" s="30" t="str">
        <x:v>Non-Ferrous Metals</x:v>
      </x:c>
      <x:c r="G107" s="30" t="str">
        <x:v>Aluminium, Copper and Nickel Alloys: Industrial Uses</x:v>
      </x:c>
      <x:c r="H107" s="30" t="str">
        <x:v>Engineering &gt; Materials of Construction &gt; Metallic Materials &gt; Non-Ferrous Metals &gt; Aluminium, Copper and Nickel Alloys: Industrial Uses</x:v>
      </x:c>
      <x:c r="I107" s="30" t="str">
        <x:v>—</x:v>
      </x:c>
      <x:c r="J107" s="30" t="str">
        <x:v>Planned — not started</x:v>
      </x:c>
      <x:c r="K107" s="30" t="str">
        <x:v>Engineering knowledge page</x:v>
      </x:c>
      <x:c r="L107" s="30" t="str">
        <x:v>Pending URL standard</x:v>
      </x:c>
      <x:c r="M107" s="30" t="str">
        <x:v>ENG.aluminium_copper_and_nickel_alloys_industrial_uses</x:v>
      </x:c>
      <x:c r="N107" s="30" t="str">
        <x:v>Required: principle schematic or formula diagram</x:v>
      </x:c>
      <x:c r="O107" s="30" t="str">
        <x:v>Per frozen page-format standard</x:v>
      </x:c>
      <x:c r="P107" s="30" t="str">
        <x:v>Fundamental textbooks only — assign before drafting</x:v>
      </x:c>
      <x:c r="Q107" s="30" t="str">
        <x:v>Not started</x:v>
      </x:c>
      <x:c r="R107" s="30" t="str">
        <x:v>Not published</x:v>
      </x:c>
      <x:c r="S107" s="31" t="str">
        <x:v>New knowledge/data page; prepare only after editorial workflow is approved.</x:v>
      </x:c>
    </x:row>
    <x:row r="108" ht="42" customHeight="1">
      <x:c r="A108" s="50" t="str">
        <x:v>ICH-ENG-099</x:v>
      </x:c>
      <x:c r="B108" s="30" t="str">
        <x:v>Knowledge/data page</x:v>
      </x:c>
      <x:c r="C108" s="53" t="str">
        <x:v>Engineering</x:v>
      </x:c>
      <x:c r="D108" s="30" t="str">
        <x:v>Materials of Construction</x:v>
      </x:c>
      <x:c r="E108" s="30" t="str">
        <x:v>Non-Metallic Materials</x:v>
      </x:c>
      <x:c r="F108" s="30" t="str">
        <x:v>Polymers and Linings</x:v>
      </x:c>
      <x:c r="G108" s="30" t="str">
        <x:v>PTFE, Rubber, FRP and Protective Linings</x:v>
      </x:c>
      <x:c r="H108" s="30" t="str">
        <x:v>Engineering &gt; Materials of Construction &gt; Non-Metallic Materials &gt; Polymers and Linings &gt; PTFE, Rubber, FRP and Protective Linings</x:v>
      </x:c>
      <x:c r="I108" s="30" t="str">
        <x:v>—</x:v>
      </x:c>
      <x:c r="J108" s="30" t="str">
        <x:v>Planned — not started</x:v>
      </x:c>
      <x:c r="K108" s="30" t="str">
        <x:v>Engineering knowledge page</x:v>
      </x:c>
      <x:c r="L108" s="30" t="str">
        <x:v>Pending URL standard</x:v>
      </x:c>
      <x:c r="M108" s="30" t="str">
        <x:v>ENG.ptfe_rubber_frp_and_protective_linings</x:v>
      </x:c>
      <x:c r="N108" s="30" t="str">
        <x:v>Required: principle schematic or formula diagram</x:v>
      </x:c>
      <x:c r="O108" s="30" t="str">
        <x:v>Per frozen page-format standard</x:v>
      </x:c>
      <x:c r="P108" s="30" t="str">
        <x:v>Fundamental textbooks only — assign before drafting</x:v>
      </x:c>
      <x:c r="Q108" s="30" t="str">
        <x:v>Not started</x:v>
      </x:c>
      <x:c r="R108" s="30" t="str">
        <x:v>Not published</x:v>
      </x:c>
      <x:c r="S108" s="31" t="str">
        <x:v>New knowledge/data page; prepare only after editorial workflow is approved.</x:v>
      </x:c>
    </x:row>
    <x:row r="109" ht="42" customHeight="1">
      <x:c r="A109" s="50" t="str">
        <x:v>ICH-ENG-100</x:v>
      </x:c>
      <x:c r="B109" s="30" t="str">
        <x:v>Knowledge/data page</x:v>
      </x:c>
      <x:c r="C109" s="53" t="str">
        <x:v>Engineering</x:v>
      </x:c>
      <x:c r="D109" s="30" t="str">
        <x:v>Materials of Construction</x:v>
      </x:c>
      <x:c r="E109" s="30" t="str">
        <x:v>Non-Metallic Materials</x:v>
      </x:c>
      <x:c r="F109" s="30" t="str">
        <x:v>Refractories and Insulation</x:v>
      </x:c>
      <x:c r="G109" s="30" t="str">
        <x:v>Refractory and Insulation Materials: Types and Applications</x:v>
      </x:c>
      <x:c r="H109" s="30" t="str">
        <x:v>Engineering &gt; Materials of Construction &gt; Non-Metallic Materials &gt; Refractories and Insulation &gt; Refractory and Insulation Materials: Types and Applications</x:v>
      </x:c>
      <x:c r="I109" s="30" t="str">
        <x:v>—</x:v>
      </x:c>
      <x:c r="J109" s="30" t="str">
        <x:v>Planned — not started</x:v>
      </x:c>
      <x:c r="K109" s="30" t="str">
        <x:v>Engineering knowledge page</x:v>
      </x:c>
      <x:c r="L109" s="30" t="str">
        <x:v>Pending URL standard</x:v>
      </x:c>
      <x:c r="M109" s="30" t="str">
        <x:v>ENG.refractory_and_insulation_materials_types_and_applications</x:v>
      </x:c>
      <x:c r="N109" s="30" t="str">
        <x:v>Required: principle schematic or formula diagram</x:v>
      </x:c>
      <x:c r="O109" s="30" t="str">
        <x:v>Per frozen page-format standard</x:v>
      </x:c>
      <x:c r="P109" s="30" t="str">
        <x:v>Fundamental textbooks only — assign before drafting</x:v>
      </x:c>
      <x:c r="Q109" s="30" t="str">
        <x:v>Not started</x:v>
      </x:c>
      <x:c r="R109" s="30" t="str">
        <x:v>Not published</x:v>
      </x:c>
      <x:c r="S109" s="31" t="str">
        <x:v>New knowledge/data page; prepare only after editorial workflow is approved.</x:v>
      </x:c>
    </x:row>
    <x:row r="110" ht="42" customHeight="1">
      <x:c r="A110" s="50" t="str">
        <x:v>ICH-ENG-101</x:v>
      </x:c>
      <x:c r="B110" s="30" t="str">
        <x:v>Knowledge/data page</x:v>
      </x:c>
      <x:c r="C110" s="53" t="str">
        <x:v>Engineering</x:v>
      </x:c>
      <x:c r="D110" s="30" t="str">
        <x:v>Materials of Construction</x:v>
      </x:c>
      <x:c r="E110" s="30" t="str">
        <x:v>Material Selection</x:v>
      </x:c>
      <x:c r="F110" s="30" t="str">
        <x:v>Service Conditions</x:v>
      </x:c>
      <x:c r="G110" s="30" t="str">
        <x:v>Material Selection for Temperature, Corrosion and Abrasion</x:v>
      </x:c>
      <x:c r="H110" s="30" t="str">
        <x:v>Engineering &gt; Materials of Construction &gt; Material Selection &gt; Service Conditions &gt; Material Selection for Temperature, Corrosion and Abrasion</x:v>
      </x:c>
      <x:c r="I110" s="30" t="str">
        <x:v>—</x:v>
      </x:c>
      <x:c r="J110" s="30" t="str">
        <x:v>Planned — not started</x:v>
      </x:c>
      <x:c r="K110" s="30" t="str">
        <x:v>Engineering knowledge page</x:v>
      </x:c>
      <x:c r="L110" s="30" t="str">
        <x:v>Pending URL standard</x:v>
      </x:c>
      <x:c r="M110" s="30" t="str">
        <x:v>ENG.material_selection_for_temperature_corrosion_and_abrasion</x:v>
      </x:c>
      <x:c r="N110" s="30" t="str">
        <x:v>Required: principle schematic or formula diagram</x:v>
      </x:c>
      <x:c r="O110" s="30" t="str">
        <x:v>Per frozen page-format standard</x:v>
      </x:c>
      <x:c r="P110" s="30" t="str">
        <x:v>Fundamental textbooks only — assign before drafting</x:v>
      </x:c>
      <x:c r="Q110" s="30" t="str">
        <x:v>Not started</x:v>
      </x:c>
      <x:c r="R110" s="30" t="str">
        <x:v>Not published</x:v>
      </x:c>
      <x:c r="S110" s="31" t="str">
        <x:v>New knowledge/data page; prepare only after editorial workflow is approved.</x:v>
      </x:c>
    </x:row>
    <x:row r="111" ht="42" customHeight="1">
      <x:c r="A111" s="50" t="str">
        <x:v>ICH-EQP-002</x:v>
      </x:c>
      <x:c r="B111" s="30" t="str">
        <x:v>Knowledge/data page</x:v>
      </x:c>
      <x:c r="C111" s="53" t="str">
        <x:v>Industrial Equipment</x:v>
      </x:c>
      <x:c r="D111" s="30" t="str">
        <x:v>Boilers, Steam and Combustion Equipment</x:v>
      </x:c>
      <x:c r="E111" s="30" t="str">
        <x:v>Boiler Pressure Parts</x:v>
      </x:c>
      <x:c r="F111" s="30" t="str">
        <x:v>Water and Steam Circuit</x:v>
      </x:c>
      <x:c r="G111" s="30" t="str">
        <x:v>Boiler Drum: Function and Components</x:v>
      </x:c>
      <x:c r="H111" s="30" t="str">
        <x:v>Industrial Equipment &gt; Boilers, Steam and Combustion Equipment &gt; Boiler Pressure Parts &gt; Water and Steam Circuit &gt; Boiler Drum: Function and Components</x:v>
      </x:c>
      <x:c r="I111" s="30" t="str">
        <x:v>—</x:v>
      </x:c>
      <x:c r="J111" s="30" t="str">
        <x:v>Planned — not started</x:v>
      </x:c>
      <x:c r="K111" s="30" t="str">
        <x:v>Industrial equipment page</x:v>
      </x:c>
      <x:c r="L111" s="30" t="str">
        <x:v>Pending URL standard</x:v>
      </x:c>
      <x:c r="M111" s="30" t="str">
        <x:v>EQP.boiler_drum_function_and_components</x:v>
      </x:c>
      <x:c r="N111" s="30" t="str">
        <x:v>Required: labelled equipment diagram</x:v>
      </x:c>
      <x:c r="O111" s="30" t="str">
        <x:v>Per frozen page-format standard</x:v>
      </x:c>
      <x:c r="P111" s="30" t="str">
        <x:v>Fundamental textbooks only — assign before drafting</x:v>
      </x:c>
      <x:c r="Q111" s="30" t="str">
        <x:v>Not started</x:v>
      </x:c>
      <x:c r="R111" s="30" t="str">
        <x:v>Not published</x:v>
      </x:c>
      <x:c r="S111" s="31" t="str">
        <x:v>New knowledge/data page; prepare only after editorial workflow is approved.</x:v>
      </x:c>
    </x:row>
    <x:row r="112" ht="42" customHeight="1">
      <x:c r="A112" s="50" t="str">
        <x:v>ICH-EQP-003</x:v>
      </x:c>
      <x:c r="B112" s="30" t="str">
        <x:v>Knowledge/data page</x:v>
      </x:c>
      <x:c r="C112" s="53" t="str">
        <x:v>Industrial Equipment</x:v>
      </x:c>
      <x:c r="D112" s="30" t="str">
        <x:v>Boilers, Steam and Combustion Equipment</x:v>
      </x:c>
      <x:c r="E112" s="30" t="str">
        <x:v>Boiler Pressure Parts</x:v>
      </x:c>
      <x:c r="F112" s="30" t="str">
        <x:v>Water and Steam Circuit</x:v>
      </x:c>
      <x:c r="G112" s="30" t="str">
        <x:v>Water Walls and Evaporator Tubes</x:v>
      </x:c>
      <x:c r="H112" s="30" t="str">
        <x:v>Industrial Equipment &gt; Boilers, Steam and Combustion Equipment &gt; Boiler Pressure Parts &gt; Water and Steam Circuit &gt; Water Walls and Evaporator Tubes</x:v>
      </x:c>
      <x:c r="I112" s="30" t="str">
        <x:v>—</x:v>
      </x:c>
      <x:c r="J112" s="30" t="str">
        <x:v>Planned — not started</x:v>
      </x:c>
      <x:c r="K112" s="30" t="str">
        <x:v>Industrial equipment page</x:v>
      </x:c>
      <x:c r="L112" s="30" t="str">
        <x:v>Pending URL standard</x:v>
      </x:c>
      <x:c r="M112" s="30" t="str">
        <x:v>EQP.water_walls_and_evaporator_tubes</x:v>
      </x:c>
      <x:c r="N112" s="30" t="str">
        <x:v>Required: labelled equipment diagram</x:v>
      </x:c>
      <x:c r="O112" s="30" t="str">
        <x:v>Per frozen page-format standard</x:v>
      </x:c>
      <x:c r="P112" s="30" t="str">
        <x:v>Fundamental textbooks only — assign before drafting</x:v>
      </x:c>
      <x:c r="Q112" s="30" t="str">
        <x:v>Not started</x:v>
      </x:c>
      <x:c r="R112" s="30" t="str">
        <x:v>Not published</x:v>
      </x:c>
      <x:c r="S112" s="31" t="str">
        <x:v>New knowledge/data page; prepare only after editorial workflow is approved.</x:v>
      </x:c>
    </x:row>
    <x:row r="113" ht="42" customHeight="1">
      <x:c r="A113" s="50" t="str">
        <x:v>ICH-EQP-004</x:v>
      </x:c>
      <x:c r="B113" s="30" t="str">
        <x:v>Knowledge/data page</x:v>
      </x:c>
      <x:c r="C113" s="53" t="str">
        <x:v>Industrial Equipment</x:v>
      </x:c>
      <x:c r="D113" s="30" t="str">
        <x:v>Boilers, Steam and Combustion Equipment</x:v>
      </x:c>
      <x:c r="E113" s="30" t="str">
        <x:v>Boiler Pressure Parts</x:v>
      </x:c>
      <x:c r="F113" s="30" t="str">
        <x:v>Water and Steam Circuit</x:v>
      </x:c>
      <x:c r="G113" s="30" t="str">
        <x:v>Headers and Downcomers</x:v>
      </x:c>
      <x:c r="H113" s="30" t="str">
        <x:v>Industrial Equipment &gt; Boilers, Steam and Combustion Equipment &gt; Boiler Pressure Parts &gt; Water and Steam Circuit &gt; Headers and Downcomers</x:v>
      </x:c>
      <x:c r="I113" s="30" t="str">
        <x:v>—</x:v>
      </x:c>
      <x:c r="J113" s="30" t="str">
        <x:v>Planned — not started</x:v>
      </x:c>
      <x:c r="K113" s="30" t="str">
        <x:v>Industrial equipment page</x:v>
      </x:c>
      <x:c r="L113" s="30" t="str">
        <x:v>Pending URL standard</x:v>
      </x:c>
      <x:c r="M113" s="30" t="str">
        <x:v>EQP.headers_and_downcomers</x:v>
      </x:c>
      <x:c r="N113" s="30" t="str">
        <x:v>Required: labelled equipment diagram</x:v>
      </x:c>
      <x:c r="O113" s="30" t="str">
        <x:v>Per frozen page-format standard</x:v>
      </x:c>
      <x:c r="P113" s="30" t="str">
        <x:v>Fundamental textbooks only — assign before drafting</x:v>
      </x:c>
      <x:c r="Q113" s="30" t="str">
        <x:v>Not started</x:v>
      </x:c>
      <x:c r="R113" s="30" t="str">
        <x:v>Not published</x:v>
      </x:c>
      <x:c r="S113" s="31" t="str">
        <x:v>New knowledge/data page; prepare only after editorial workflow is approved.</x:v>
      </x:c>
    </x:row>
    <x:row r="114" ht="42" customHeight="1">
      <x:c r="A114" s="50" t="str">
        <x:v>ICH-EQP-005</x:v>
      </x:c>
      <x:c r="B114" s="30" t="str">
        <x:v>Knowledge/data page</x:v>
      </x:c>
      <x:c r="C114" s="53" t="str">
        <x:v>Industrial Equipment</x:v>
      </x:c>
      <x:c r="D114" s="30" t="str">
        <x:v>Boilers, Steam and Combustion Equipment</x:v>
      </x:c>
      <x:c r="E114" s="30" t="str">
        <x:v>Boiler Pressure Parts</x:v>
      </x:c>
      <x:c r="F114" s="30" t="str">
        <x:v>Water and Steam Circuit</x:v>
      </x:c>
      <x:c r="G114" s="30" t="str">
        <x:v>Superheaters and Reheaters</x:v>
      </x:c>
      <x:c r="H114" s="30" t="str">
        <x:v>Industrial Equipment &gt; Boilers, Steam and Combustion Equipment &gt; Boiler Pressure Parts &gt; Water and Steam Circuit &gt; Superheaters and Reheaters</x:v>
      </x:c>
      <x:c r="I114" s="30" t="str">
        <x:v>—</x:v>
      </x:c>
      <x:c r="J114" s="30" t="str">
        <x:v>Planned — not started</x:v>
      </x:c>
      <x:c r="K114" s="30" t="str">
        <x:v>Industrial equipment page</x:v>
      </x:c>
      <x:c r="L114" s="30" t="str">
        <x:v>Pending URL standard</x:v>
      </x:c>
      <x:c r="M114" s="30" t="str">
        <x:v>EQP.superheaters_and_reheaters</x:v>
      </x:c>
      <x:c r="N114" s="30" t="str">
        <x:v>Required: labelled equipment diagram</x:v>
      </x:c>
      <x:c r="O114" s="30" t="str">
        <x:v>Per frozen page-format standard</x:v>
      </x:c>
      <x:c r="P114" s="30" t="str">
        <x:v>Fundamental textbooks only — assign before drafting</x:v>
      </x:c>
      <x:c r="Q114" s="30" t="str">
        <x:v>Not started</x:v>
      </x:c>
      <x:c r="R114" s="30" t="str">
        <x:v>Not published</x:v>
      </x:c>
      <x:c r="S114" s="31" t="str">
        <x:v>New knowledge/data page; prepare only after editorial workflow is approved.</x:v>
      </x:c>
    </x:row>
    <x:row r="115" ht="42" customHeight="1">
      <x:c r="A115" s="50" t="str">
        <x:v>ICH-EQP-006</x:v>
      </x:c>
      <x:c r="B115" s="30" t="str">
        <x:v>Knowledge/data page</x:v>
      </x:c>
      <x:c r="C115" s="53" t="str">
        <x:v>Industrial Equipment</x:v>
      </x:c>
      <x:c r="D115" s="30" t="str">
        <x:v>Boilers, Steam and Combustion Equipment</x:v>
      </x:c>
      <x:c r="E115" s="30" t="str">
        <x:v>Boiler Pressure Parts</x:v>
      </x:c>
      <x:c r="F115" s="30" t="str">
        <x:v>Heat Recovery</x:v>
      </x:c>
      <x:c r="G115" s="30" t="str">
        <x:v>Economizer: Function and Components</x:v>
      </x:c>
      <x:c r="H115" s="30" t="str">
        <x:v>Industrial Equipment &gt; Boilers, Steam and Combustion Equipment &gt; Boiler Pressure Parts &gt; Heat Recovery &gt; Economizer: Function and Components</x:v>
      </x:c>
      <x:c r="I115" s="30" t="str">
        <x:v>—</x:v>
      </x:c>
      <x:c r="J115" s="30" t="str">
        <x:v>Planned — not started</x:v>
      </x:c>
      <x:c r="K115" s="30" t="str">
        <x:v>Industrial equipment page</x:v>
      </x:c>
      <x:c r="L115" s="30" t="str">
        <x:v>Pending URL standard</x:v>
      </x:c>
      <x:c r="M115" s="30" t="str">
        <x:v>EQP.economizer_function_and_components</x:v>
      </x:c>
      <x:c r="N115" s="30" t="str">
        <x:v>Required: labelled equipment diagram</x:v>
      </x:c>
      <x:c r="O115" s="30" t="str">
        <x:v>Per frozen page-format standard</x:v>
      </x:c>
      <x:c r="P115" s="30" t="str">
        <x:v>Fundamental textbooks only — assign before drafting</x:v>
      </x:c>
      <x:c r="Q115" s="30" t="str">
        <x:v>Not started</x:v>
      </x:c>
      <x:c r="R115" s="30" t="str">
        <x:v>Not published</x:v>
      </x:c>
      <x:c r="S115" s="31" t="str">
        <x:v>New knowledge/data page; prepare only after editorial workflow is approved.</x:v>
      </x:c>
    </x:row>
    <x:row r="116" ht="42" customHeight="1">
      <x:c r="A116" s="50" t="str">
        <x:v>ICH-EQP-007</x:v>
      </x:c>
      <x:c r="B116" s="30" t="str">
        <x:v>Knowledge/data page</x:v>
      </x:c>
      <x:c r="C116" s="53" t="str">
        <x:v>Industrial Equipment</x:v>
      </x:c>
      <x:c r="D116" s="30" t="str">
        <x:v>Boilers, Steam and Combustion Equipment</x:v>
      </x:c>
      <x:c r="E116" s="30" t="str">
        <x:v>Boiler Pressure Parts</x:v>
      </x:c>
      <x:c r="F116" s="30" t="str">
        <x:v>Heat Recovery</x:v>
      </x:c>
      <x:c r="G116" s="30" t="str">
        <x:v>Air Preheater: Function and Components</x:v>
      </x:c>
      <x:c r="H116" s="30" t="str">
        <x:v>Industrial Equipment &gt; Boilers, Steam and Combustion Equipment &gt; Boiler Pressure Parts &gt; Heat Recovery &gt; Air Preheater: Function and Components</x:v>
      </x:c>
      <x:c r="I116" s="30" t="str">
        <x:v>—</x:v>
      </x:c>
      <x:c r="J116" s="30" t="str">
        <x:v>Planned — not started</x:v>
      </x:c>
      <x:c r="K116" s="30" t="str">
        <x:v>Industrial equipment page</x:v>
      </x:c>
      <x:c r="L116" s="30" t="str">
        <x:v>Pending URL standard</x:v>
      </x:c>
      <x:c r="M116" s="30" t="str">
        <x:v>EQP.air_preheater_function_and_components</x:v>
      </x:c>
      <x:c r="N116" s="30" t="str">
        <x:v>Required: labelled equipment diagram</x:v>
      </x:c>
      <x:c r="O116" s="30" t="str">
        <x:v>Per frozen page-format standard</x:v>
      </x:c>
      <x:c r="P116" s="30" t="str">
        <x:v>Fundamental textbooks only — assign before drafting</x:v>
      </x:c>
      <x:c r="Q116" s="30" t="str">
        <x:v>Not started</x:v>
      </x:c>
      <x:c r="R116" s="30" t="str">
        <x:v>Not published</x:v>
      </x:c>
      <x:c r="S116" s="31" t="str">
        <x:v>New knowledge/data page; prepare only after editorial workflow is approved.</x:v>
      </x:c>
    </x:row>
    <x:row r="117" ht="42" customHeight="1">
      <x:c r="A117" s="50" t="str">
        <x:v>ICH-EQP-008</x:v>
      </x:c>
      <x:c r="B117" s="30" t="str">
        <x:v>Knowledge/data page</x:v>
      </x:c>
      <x:c r="C117" s="53" t="str">
        <x:v>Industrial Equipment</x:v>
      </x:c>
      <x:c r="D117" s="30" t="str">
        <x:v>Boilers, Steam and Combustion Equipment</x:v>
      </x:c>
      <x:c r="E117" s="30" t="str">
        <x:v>Combustion Equipment</x:v>
      </x:c>
      <x:c r="F117" s="30" t="str">
        <x:v>Furnace System</x:v>
      </x:c>
      <x:c r="G117" s="30" t="str">
        <x:v>Boiler Furnace and Combustion Chamber</x:v>
      </x:c>
      <x:c r="H117" s="30" t="str">
        <x:v>Industrial Equipment &gt; Boilers, Steam and Combustion Equipment &gt; Combustion Equipment &gt; Furnace System &gt; Boiler Furnace and Combustion Chamber</x:v>
      </x:c>
      <x:c r="I117" s="30" t="str">
        <x:v>—</x:v>
      </x:c>
      <x:c r="J117" s="30" t="str">
        <x:v>Planned — not started</x:v>
      </x:c>
      <x:c r="K117" s="30" t="str">
        <x:v>Industrial equipment page</x:v>
      </x:c>
      <x:c r="L117" s="30" t="str">
        <x:v>Pending URL standard</x:v>
      </x:c>
      <x:c r="M117" s="30" t="str">
        <x:v>EQP.boiler_furnace_and_combustion_chamber</x:v>
      </x:c>
      <x:c r="N117" s="30" t="str">
        <x:v>Required: labelled equipment diagram</x:v>
      </x:c>
      <x:c r="O117" s="30" t="str">
        <x:v>Per frozen page-format standard</x:v>
      </x:c>
      <x:c r="P117" s="30" t="str">
        <x:v>Fundamental textbooks only — assign before drafting</x:v>
      </x:c>
      <x:c r="Q117" s="30" t="str">
        <x:v>Not started</x:v>
      </x:c>
      <x:c r="R117" s="30" t="str">
        <x:v>Not published</x:v>
      </x:c>
      <x:c r="S117" s="31" t="str">
        <x:v>New knowledge/data page; prepare only after editorial workflow is approved.</x:v>
      </x:c>
    </x:row>
    <x:row r="118" ht="42" customHeight="1">
      <x:c r="A118" s="50" t="str">
        <x:v>ICH-EQP-009</x:v>
      </x:c>
      <x:c r="B118" s="30" t="str">
        <x:v>Knowledge/data page</x:v>
      </x:c>
      <x:c r="C118" s="53" t="str">
        <x:v>Industrial Equipment</x:v>
      </x:c>
      <x:c r="D118" s="30" t="str">
        <x:v>Boilers, Steam and Combustion Equipment</x:v>
      </x:c>
      <x:c r="E118" s="30" t="str">
        <x:v>Combustion Equipment</x:v>
      </x:c>
      <x:c r="F118" s="30" t="str">
        <x:v>Furnace System</x:v>
      </x:c>
      <x:c r="G118" s="30" t="str">
        <x:v>Burners, Igniters and Flame Scanners</x:v>
      </x:c>
      <x:c r="H118" s="30" t="str">
        <x:v>Industrial Equipment &gt; Boilers, Steam and Combustion Equipment &gt; Combustion Equipment &gt; Furnace System &gt; Burners, Igniters and Flame Scanners</x:v>
      </x:c>
      <x:c r="I118" s="30" t="str">
        <x:v>—</x:v>
      </x:c>
      <x:c r="J118" s="30" t="str">
        <x:v>Planned — not started</x:v>
      </x:c>
      <x:c r="K118" s="30" t="str">
        <x:v>Industrial equipment page</x:v>
      </x:c>
      <x:c r="L118" s="30" t="str">
        <x:v>Pending URL standard</x:v>
      </x:c>
      <x:c r="M118" s="30" t="str">
        <x:v>EQP.burners_igniters_and_flame_scanners</x:v>
      </x:c>
      <x:c r="N118" s="30" t="str">
        <x:v>Required: labelled equipment diagram</x:v>
      </x:c>
      <x:c r="O118" s="30" t="str">
        <x:v>Per frozen page-format standard</x:v>
      </x:c>
      <x:c r="P118" s="30" t="str">
        <x:v>Fundamental textbooks only — assign before drafting</x:v>
      </x:c>
      <x:c r="Q118" s="30" t="str">
        <x:v>Not started</x:v>
      </x:c>
      <x:c r="R118" s="30" t="str">
        <x:v>Not published</x:v>
      </x:c>
      <x:c r="S118" s="31" t="str">
        <x:v>New knowledge/data page; prepare only after editorial workflow is approved.</x:v>
      </x:c>
    </x:row>
    <x:row r="119" ht="42" customHeight="1">
      <x:c r="A119" s="50" t="str">
        <x:v>ICH-EQP-010</x:v>
      </x:c>
      <x:c r="B119" s="30" t="str">
        <x:v>Knowledge/data page</x:v>
      </x:c>
      <x:c r="C119" s="53" t="str">
        <x:v>Industrial Equipment</x:v>
      </x:c>
      <x:c r="D119" s="30" t="str">
        <x:v>Boilers, Steam and Combustion Equipment</x:v>
      </x:c>
      <x:c r="E119" s="30" t="str">
        <x:v>Combustion Equipment</x:v>
      </x:c>
      <x:c r="F119" s="30" t="str">
        <x:v>Furnace System</x:v>
      </x:c>
      <x:c r="G119" s="30" t="str">
        <x:v>Wind Box and Air Distribution System</x:v>
      </x:c>
      <x:c r="H119" s="30" t="str">
        <x:v>Industrial Equipment &gt; Boilers, Steam and Combustion Equipment &gt; Combustion Equipment &gt; Furnace System &gt; Wind Box and Air Distribution System</x:v>
      </x:c>
      <x:c r="I119" s="30" t="str">
        <x:v>—</x:v>
      </x:c>
      <x:c r="J119" s="30" t="str">
        <x:v>Planned — not started</x:v>
      </x:c>
      <x:c r="K119" s="30" t="str">
        <x:v>Industrial equipment page</x:v>
      </x:c>
      <x:c r="L119" s="30" t="str">
        <x:v>Pending URL standard</x:v>
      </x:c>
      <x:c r="M119" s="30" t="str">
        <x:v>EQP.wind_box_and_air_distribution_system</x:v>
      </x:c>
      <x:c r="N119" s="30" t="str">
        <x:v>Required: labelled equipment diagram</x:v>
      </x:c>
      <x:c r="O119" s="30" t="str">
        <x:v>Per frozen page-format standard</x:v>
      </x:c>
      <x:c r="P119" s="30" t="str">
        <x:v>Fundamental textbooks only — assign before drafting</x:v>
      </x:c>
      <x:c r="Q119" s="30" t="str">
        <x:v>Not started</x:v>
      </x:c>
      <x:c r="R119" s="30" t="str">
        <x:v>Not published</x:v>
      </x:c>
      <x:c r="S119" s="31" t="str">
        <x:v>New knowledge/data page; prepare only after editorial workflow is approved.</x:v>
      </x:c>
    </x:row>
    <x:row r="120" ht="42" customHeight="1">
      <x:c r="A120" s="50" t="str">
        <x:v>ICH-EQP-011</x:v>
      </x:c>
      <x:c r="B120" s="30" t="str">
        <x:v>Knowledge/data page</x:v>
      </x:c>
      <x:c r="C120" s="53" t="str">
        <x:v>Industrial Equipment</x:v>
      </x:c>
      <x:c r="D120" s="30" t="str">
        <x:v>Boilers, Steam and Combustion Equipment</x:v>
      </x:c>
      <x:c r="E120" s="30" t="str">
        <x:v>Combustion Equipment</x:v>
      </x:c>
      <x:c r="F120" s="30" t="str">
        <x:v>Fuel Preparation</x:v>
      </x:c>
      <x:c r="G120" s="30" t="str">
        <x:v>Coal Mills and Pulverizers</x:v>
      </x:c>
      <x:c r="H120" s="30" t="str">
        <x:v>Industrial Equipment &gt; Boilers, Steam and Combustion Equipment &gt; Combustion Equipment &gt; Fuel Preparation &gt; Coal Mills and Pulverizers</x:v>
      </x:c>
      <x:c r="I120" s="30" t="str">
        <x:v>—</x:v>
      </x:c>
      <x:c r="J120" s="30" t="str">
        <x:v>Planned — not started</x:v>
      </x:c>
      <x:c r="K120" s="30" t="str">
        <x:v>Industrial equipment page</x:v>
      </x:c>
      <x:c r="L120" s="30" t="str">
        <x:v>Pending URL standard</x:v>
      </x:c>
      <x:c r="M120" s="30" t="str">
        <x:v>EQP.coal_mills_and_pulverizers</x:v>
      </x:c>
      <x:c r="N120" s="30" t="str">
        <x:v>Required: labelled equipment diagram</x:v>
      </x:c>
      <x:c r="O120" s="30" t="str">
        <x:v>Per frozen page-format standard</x:v>
      </x:c>
      <x:c r="P120" s="30" t="str">
        <x:v>Fundamental textbooks only — assign before drafting</x:v>
      </x:c>
      <x:c r="Q120" s="30" t="str">
        <x:v>Not started</x:v>
      </x:c>
      <x:c r="R120" s="30" t="str">
        <x:v>Not published</x:v>
      </x:c>
      <x:c r="S120" s="31" t="str">
        <x:v>New knowledge/data page; prepare only after editorial workflow is approved.</x:v>
      </x:c>
    </x:row>
    <x:row r="121" ht="42" customHeight="1">
      <x:c r="A121" s="50" t="str">
        <x:v>ICH-EQP-012</x:v>
      </x:c>
      <x:c r="B121" s="30" t="str">
        <x:v>Knowledge/data page</x:v>
      </x:c>
      <x:c r="C121" s="53" t="str">
        <x:v>Industrial Equipment</x:v>
      </x:c>
      <x:c r="D121" s="30" t="str">
        <x:v>Boilers, Steam and Combustion Equipment</x:v>
      </x:c>
      <x:c r="E121" s="30" t="str">
        <x:v>Combustion Equipment</x:v>
      </x:c>
      <x:c r="F121" s="30" t="str">
        <x:v>Fuel Preparation</x:v>
      </x:c>
      <x:c r="G121" s="30" t="str">
        <x:v>Fuel Oil and Gas Firing System</x:v>
      </x:c>
      <x:c r="H121" s="30" t="str">
        <x:v>Industrial Equipment &gt; Boilers, Steam and Combustion Equipment &gt; Combustion Equipment &gt; Fuel Preparation &gt; Fuel Oil and Gas Firing System</x:v>
      </x:c>
      <x:c r="I121" s="30" t="str">
        <x:v>—</x:v>
      </x:c>
      <x:c r="J121" s="30" t="str">
        <x:v>Planned — not started</x:v>
      </x:c>
      <x:c r="K121" s="30" t="str">
        <x:v>Industrial equipment page</x:v>
      </x:c>
      <x:c r="L121" s="30" t="str">
        <x:v>Pending URL standard</x:v>
      </x:c>
      <x:c r="M121" s="30" t="str">
        <x:v>EQP.fuel_oil_and_gas_firing_system</x:v>
      </x:c>
      <x:c r="N121" s="30" t="str">
        <x:v>Required: labelled equipment diagram</x:v>
      </x:c>
      <x:c r="O121" s="30" t="str">
        <x:v>Per frozen page-format standard</x:v>
      </x:c>
      <x:c r="P121" s="30" t="str">
        <x:v>Fundamental textbooks only — assign before drafting</x:v>
      </x:c>
      <x:c r="Q121" s="30" t="str">
        <x:v>Not started</x:v>
      </x:c>
      <x:c r="R121" s="30" t="str">
        <x:v>Not published</x:v>
      </x:c>
      <x:c r="S121" s="31" t="str">
        <x:v>New knowledge/data page; prepare only after editorial workflow is approved.</x:v>
      </x:c>
    </x:row>
    <x:row r="122" ht="42" customHeight="1">
      <x:c r="A122" s="50" t="str">
        <x:v>ICH-EQP-013</x:v>
      </x:c>
      <x:c r="B122" s="30" t="str">
        <x:v>Knowledge/data page</x:v>
      </x:c>
      <x:c r="C122" s="53" t="str">
        <x:v>Industrial Equipment</x:v>
      </x:c>
      <x:c r="D122" s="30" t="str">
        <x:v>Boilers, Steam and Combustion Equipment</x:v>
      </x:c>
      <x:c r="E122" s="30" t="str">
        <x:v>Boiler Auxiliary Equipment</x:v>
      </x:c>
      <x:c r="F122" s="30" t="str">
        <x:v>Cleaning and Protection</x:v>
      </x:c>
      <x:c r="G122" s="30" t="str">
        <x:v>Soot Blowers and Boiler Cleaning Equipment</x:v>
      </x:c>
      <x:c r="H122" s="30" t="str">
        <x:v>Industrial Equipment &gt; Boilers, Steam and Combustion Equipment &gt; Boiler Auxiliary Equipment &gt; Cleaning and Protection &gt; Soot Blowers and Boiler Cleaning Equipment</x:v>
      </x:c>
      <x:c r="I122" s="30" t="str">
        <x:v>—</x:v>
      </x:c>
      <x:c r="J122" s="30" t="str">
        <x:v>Planned — not started</x:v>
      </x:c>
      <x:c r="K122" s="30" t="str">
        <x:v>Industrial equipment page</x:v>
      </x:c>
      <x:c r="L122" s="30" t="str">
        <x:v>Pending URL standard</x:v>
      </x:c>
      <x:c r="M122" s="30" t="str">
        <x:v>EQP.soot_blowers_and_boiler_cleaning_equipment</x:v>
      </x:c>
      <x:c r="N122" s="30" t="str">
        <x:v>Required: labelled equipment diagram</x:v>
      </x:c>
      <x:c r="O122" s="30" t="str">
        <x:v>Per frozen page-format standard</x:v>
      </x:c>
      <x:c r="P122" s="30" t="str">
        <x:v>Fundamental textbooks only — assign before drafting</x:v>
      </x:c>
      <x:c r="Q122" s="30" t="str">
        <x:v>Not started</x:v>
      </x:c>
      <x:c r="R122" s="30" t="str">
        <x:v>Not published</x:v>
      </x:c>
      <x:c r="S122" s="31" t="str">
        <x:v>New knowledge/data page; prepare only after editorial workflow is approved.</x:v>
      </x:c>
    </x:row>
    <x:row r="123" ht="42" customHeight="1">
      <x:c r="A123" s="50" t="str">
        <x:v>ICH-EQP-014</x:v>
      </x:c>
      <x:c r="B123" s="30" t="str">
        <x:v>Knowledge/data page</x:v>
      </x:c>
      <x:c r="C123" s="53" t="str">
        <x:v>Industrial Equipment</x:v>
      </x:c>
      <x:c r="D123" s="30" t="str">
        <x:v>Boilers, Steam and Combustion Equipment</x:v>
      </x:c>
      <x:c r="E123" s="30" t="str">
        <x:v>Boiler Auxiliary Equipment</x:v>
      </x:c>
      <x:c r="F123" s="30" t="str">
        <x:v>Cleaning and Protection</x:v>
      </x:c>
      <x:c r="G123" s="30" t="str">
        <x:v>Boiler Safety Valves and Protection Systems</x:v>
      </x:c>
      <x:c r="H123" s="30" t="str">
        <x:v>Industrial Equipment &gt; Boilers, Steam and Combustion Equipment &gt; Boiler Auxiliary Equipment &gt; Cleaning and Protection &gt; Boiler Safety Valves and Protection Systems</x:v>
      </x:c>
      <x:c r="I123" s="30" t="str">
        <x:v>—</x:v>
      </x:c>
      <x:c r="J123" s="30" t="str">
        <x:v>Planned — not started</x:v>
      </x:c>
      <x:c r="K123" s="30" t="str">
        <x:v>Industrial equipment page</x:v>
      </x:c>
      <x:c r="L123" s="30" t="str">
        <x:v>Pending URL standard</x:v>
      </x:c>
      <x:c r="M123" s="30" t="str">
        <x:v>EQP.boiler_safety_valves_and_protection_systems</x:v>
      </x:c>
      <x:c r="N123" s="30" t="str">
        <x:v>Required: labelled equipment diagram</x:v>
      </x:c>
      <x:c r="O123" s="30" t="str">
        <x:v>Per frozen page-format standard</x:v>
      </x:c>
      <x:c r="P123" s="30" t="str">
        <x:v>Fundamental textbooks only — assign before drafting</x:v>
      </x:c>
      <x:c r="Q123" s="30" t="str">
        <x:v>Not started</x:v>
      </x:c>
      <x:c r="R123" s="30" t="str">
        <x:v>Not published</x:v>
      </x:c>
      <x:c r="S123" s="31" t="str">
        <x:v>New knowledge/data page; prepare only after editorial workflow is approved.</x:v>
      </x:c>
    </x:row>
    <x:row r="124" ht="42" customHeight="1">
      <x:c r="A124" s="50" t="str">
        <x:v>ICH-EQP-015</x:v>
      </x:c>
      <x:c r="B124" s="30" t="str">
        <x:v>Knowledge/data page</x:v>
      </x:c>
      <x:c r="C124" s="53" t="str">
        <x:v>Industrial Equipment</x:v>
      </x:c>
      <x:c r="D124" s="30" t="str">
        <x:v>Boilers, Steam and Combustion Equipment</x:v>
      </x:c>
      <x:c r="E124" s="30" t="str">
        <x:v>Boiler Auxiliary Equipment</x:v>
      </x:c>
      <x:c r="F124" s="30" t="str">
        <x:v>Water and Steam Accessories</x:v>
      </x:c>
      <x:c r="G124" s="30" t="str">
        <x:v>Boiler Feedwater System</x:v>
      </x:c>
      <x:c r="H124" s="30" t="str">
        <x:v>Industrial Equipment &gt; Boilers, Steam and Combustion Equipment &gt; Boiler Auxiliary Equipment &gt; Water and Steam Accessories &gt; Boiler Feedwater System</x:v>
      </x:c>
      <x:c r="I124" s="30" t="str">
        <x:v>—</x:v>
      </x:c>
      <x:c r="J124" s="30" t="str">
        <x:v>Planned — not started</x:v>
      </x:c>
      <x:c r="K124" s="30" t="str">
        <x:v>Industrial equipment page</x:v>
      </x:c>
      <x:c r="L124" s="30" t="str">
        <x:v>Pending URL standard</x:v>
      </x:c>
      <x:c r="M124" s="30" t="str">
        <x:v>EQP.boiler_feedwater_system</x:v>
      </x:c>
      <x:c r="N124" s="30" t="str">
        <x:v>Required: labelled equipment diagram</x:v>
      </x:c>
      <x:c r="O124" s="30" t="str">
        <x:v>Per frozen page-format standard</x:v>
      </x:c>
      <x:c r="P124" s="30" t="str">
        <x:v>Fundamental textbooks only — assign before drafting</x:v>
      </x:c>
      <x:c r="Q124" s="30" t="str">
        <x:v>Not started</x:v>
      </x:c>
      <x:c r="R124" s="30" t="str">
        <x:v>Not published</x:v>
      </x:c>
      <x:c r="S124" s="31" t="str">
        <x:v>New knowledge/data page; prepare only after editorial workflow is approved.</x:v>
      </x:c>
    </x:row>
    <x:row r="125" ht="42" customHeight="1">
      <x:c r="A125" s="50" t="str">
        <x:v>ICH-EQP-016</x:v>
      </x:c>
      <x:c r="B125" s="30" t="str">
        <x:v>Knowledge/data page</x:v>
      </x:c>
      <x:c r="C125" s="53" t="str">
        <x:v>Industrial Equipment</x:v>
      </x:c>
      <x:c r="D125" s="30" t="str">
        <x:v>Boilers, Steam and Combustion Equipment</x:v>
      </x:c>
      <x:c r="E125" s="30" t="str">
        <x:v>Boiler Auxiliary Equipment</x:v>
      </x:c>
      <x:c r="F125" s="30" t="str">
        <x:v>Water and Steam Accessories</x:v>
      </x:c>
      <x:c r="G125" s="30" t="str">
        <x:v>Boiler Blowdown System</x:v>
      </x:c>
      <x:c r="H125" s="30" t="str">
        <x:v>Industrial Equipment &gt; Boilers, Steam and Combustion Equipment &gt; Boiler Auxiliary Equipment &gt; Water and Steam Accessories &gt; Boiler Blowdown System</x:v>
      </x:c>
      <x:c r="I125" s="30" t="str">
        <x:v>—</x:v>
      </x:c>
      <x:c r="J125" s="30" t="str">
        <x:v>Planned — not started</x:v>
      </x:c>
      <x:c r="K125" s="30" t="str">
        <x:v>Industrial equipment page</x:v>
      </x:c>
      <x:c r="L125" s="30" t="str">
        <x:v>Pending URL standard</x:v>
      </x:c>
      <x:c r="M125" s="30" t="str">
        <x:v>EQP.boiler_blowdown_system</x:v>
      </x:c>
      <x:c r="N125" s="30" t="str">
        <x:v>Required: labelled equipment diagram</x:v>
      </x:c>
      <x:c r="O125" s="30" t="str">
        <x:v>Per frozen page-format standard</x:v>
      </x:c>
      <x:c r="P125" s="30" t="str">
        <x:v>Fundamental textbooks only — assign before drafting</x:v>
      </x:c>
      <x:c r="Q125" s="30" t="str">
        <x:v>Not started</x:v>
      </x:c>
      <x:c r="R125" s="30" t="str">
        <x:v>Not published</x:v>
      </x:c>
      <x:c r="S125" s="31" t="str">
        <x:v>New knowledge/data page; prepare only after editorial workflow is approved.</x:v>
      </x:c>
    </x:row>
    <x:row r="126" ht="42" customHeight="1">
      <x:c r="A126" s="50" t="str">
        <x:v>ICH-EQP-017</x:v>
      </x:c>
      <x:c r="B126" s="30" t="str">
        <x:v>Knowledge/data page</x:v>
      </x:c>
      <x:c r="C126" s="53" t="str">
        <x:v>Industrial Equipment</x:v>
      </x:c>
      <x:c r="D126" s="30" t="str">
        <x:v>Boilers, Steam and Combustion Equipment</x:v>
      </x:c>
      <x:c r="E126" s="30" t="str">
        <x:v>Boiler Auxiliary Equipment</x:v>
      </x:c>
      <x:c r="F126" s="30" t="str">
        <x:v>Draft System</x:v>
      </x:c>
      <x:c r="G126" s="30" t="str">
        <x:v>Forced Draft Fan</x:v>
      </x:c>
      <x:c r="H126" s="30" t="str">
        <x:v>Industrial Equipment &gt; Boilers, Steam and Combustion Equipment &gt; Boiler Auxiliary Equipment &gt; Draft System &gt; Forced Draft Fan</x:v>
      </x:c>
      <x:c r="I126" s="30" t="str">
        <x:v>—</x:v>
      </x:c>
      <x:c r="J126" s="30" t="str">
        <x:v>Planned — not started</x:v>
      </x:c>
      <x:c r="K126" s="30" t="str">
        <x:v>Industrial equipment page</x:v>
      </x:c>
      <x:c r="L126" s="30" t="str">
        <x:v>Pending URL standard</x:v>
      </x:c>
      <x:c r="M126" s="30" t="str">
        <x:v>EQP.forced_draft_fan</x:v>
      </x:c>
      <x:c r="N126" s="30" t="str">
        <x:v>Required: labelled equipment diagram</x:v>
      </x:c>
      <x:c r="O126" s="30" t="str">
        <x:v>Per frozen page-format standard</x:v>
      </x:c>
      <x:c r="P126" s="30" t="str">
        <x:v>Fundamental textbooks only — assign before drafting</x:v>
      </x:c>
      <x:c r="Q126" s="30" t="str">
        <x:v>Not started</x:v>
      </x:c>
      <x:c r="R126" s="30" t="str">
        <x:v>Not published</x:v>
      </x:c>
      <x:c r="S126" s="31" t="str">
        <x:v>New knowledge/data page; prepare only after editorial workflow is approved.</x:v>
      </x:c>
    </x:row>
    <x:row r="127" ht="42" customHeight="1">
      <x:c r="A127" s="50" t="str">
        <x:v>ICH-EQP-018</x:v>
      </x:c>
      <x:c r="B127" s="30" t="str">
        <x:v>Knowledge/data page</x:v>
      </x:c>
      <x:c r="C127" s="53" t="str">
        <x:v>Industrial Equipment</x:v>
      </x:c>
      <x:c r="D127" s="30" t="str">
        <x:v>Boilers, Steam and Combustion Equipment</x:v>
      </x:c>
      <x:c r="E127" s="30" t="str">
        <x:v>Boiler Auxiliary Equipment</x:v>
      </x:c>
      <x:c r="F127" s="30" t="str">
        <x:v>Draft System</x:v>
      </x:c>
      <x:c r="G127" s="30" t="str">
        <x:v>Induced Draft Fan</x:v>
      </x:c>
      <x:c r="H127" s="30" t="str">
        <x:v>Industrial Equipment &gt; Boilers, Steam and Combustion Equipment &gt; Boiler Auxiliary Equipment &gt; Draft System &gt; Induced Draft Fan</x:v>
      </x:c>
      <x:c r="I127" s="30" t="str">
        <x:v>—</x:v>
      </x:c>
      <x:c r="J127" s="30" t="str">
        <x:v>Planned — not started</x:v>
      </x:c>
      <x:c r="K127" s="30" t="str">
        <x:v>Industrial equipment page</x:v>
      </x:c>
      <x:c r="L127" s="30" t="str">
        <x:v>Pending URL standard</x:v>
      </x:c>
      <x:c r="M127" s="30" t="str">
        <x:v>EQP.induced_draft_fan</x:v>
      </x:c>
      <x:c r="N127" s="30" t="str">
        <x:v>Required: labelled equipment diagram</x:v>
      </x:c>
      <x:c r="O127" s="30" t="str">
        <x:v>Per frozen page-format standard</x:v>
      </x:c>
      <x:c r="P127" s="30" t="str">
        <x:v>Fundamental textbooks only — assign before drafting</x:v>
      </x:c>
      <x:c r="Q127" s="30" t="str">
        <x:v>Not started</x:v>
      </x:c>
      <x:c r="R127" s="30" t="str">
        <x:v>Not published</x:v>
      </x:c>
      <x:c r="S127" s="31" t="str">
        <x:v>New knowledge/data page; prepare only after editorial workflow is approved.</x:v>
      </x:c>
    </x:row>
    <x:row r="128" ht="42" customHeight="1">
      <x:c r="A128" s="50" t="str">
        <x:v>ICH-EQP-019</x:v>
      </x:c>
      <x:c r="B128" s="30" t="str">
        <x:v>Knowledge/data page</x:v>
      </x:c>
      <x:c r="C128" s="53" t="str">
        <x:v>Industrial Equipment</x:v>
      </x:c>
      <x:c r="D128" s="30" t="str">
        <x:v>Boilers, Steam and Combustion Equipment</x:v>
      </x:c>
      <x:c r="E128" s="30" t="str">
        <x:v>Boiler Auxiliary Equipment</x:v>
      </x:c>
      <x:c r="F128" s="30" t="str">
        <x:v>Draft System</x:v>
      </x:c>
      <x:c r="G128" s="30" t="str">
        <x:v>Primary Air Fan</x:v>
      </x:c>
      <x:c r="H128" s="30" t="str">
        <x:v>Industrial Equipment &gt; Boilers, Steam and Combustion Equipment &gt; Boiler Auxiliary Equipment &gt; Draft System &gt; Primary Air Fan</x:v>
      </x:c>
      <x:c r="I128" s="30" t="str">
        <x:v>—</x:v>
      </x:c>
      <x:c r="J128" s="30" t="str">
        <x:v>Planned — not started</x:v>
      </x:c>
      <x:c r="K128" s="30" t="str">
        <x:v>Industrial equipment page</x:v>
      </x:c>
      <x:c r="L128" s="30" t="str">
        <x:v>Pending URL standard</x:v>
      </x:c>
      <x:c r="M128" s="30" t="str">
        <x:v>EQP.primary_air_fan</x:v>
      </x:c>
      <x:c r="N128" s="30" t="str">
        <x:v>Required: labelled equipment diagram</x:v>
      </x:c>
      <x:c r="O128" s="30" t="str">
        <x:v>Per frozen page-format standard</x:v>
      </x:c>
      <x:c r="P128" s="30" t="str">
        <x:v>Fundamental textbooks only — assign before drafting</x:v>
      </x:c>
      <x:c r="Q128" s="30" t="str">
        <x:v>Not started</x:v>
      </x:c>
      <x:c r="R128" s="30" t="str">
        <x:v>Not published</x:v>
      </x:c>
      <x:c r="S128" s="31" t="str">
        <x:v>New knowledge/data page; prepare only after editorial workflow is approved.</x:v>
      </x:c>
    </x:row>
    <x:row r="129" ht="42" customHeight="1">
      <x:c r="A129" s="50" t="str">
        <x:v>ICH-EQP-020</x:v>
      </x:c>
      <x:c r="B129" s="30" t="str">
        <x:v>Knowledge/data page</x:v>
      </x:c>
      <x:c r="C129" s="53" t="str">
        <x:v>Industrial Equipment</x:v>
      </x:c>
      <x:c r="D129" s="30" t="str">
        <x:v>Boilers, Steam and Combustion Equipment</x:v>
      </x:c>
      <x:c r="E129" s="30" t="str">
        <x:v>Boiler Exit Systems</x:v>
      </x:c>
      <x:c r="F129" s="30" t="str">
        <x:v>Flue Gas Path</x:v>
      </x:c>
      <x:c r="G129" s="30" t="str">
        <x:v>Flue Gas Ducts and Expansion Joints</x:v>
      </x:c>
      <x:c r="H129" s="30" t="str">
        <x:v>Industrial Equipment &gt; Boilers, Steam and Combustion Equipment &gt; Boiler Exit Systems &gt; Flue Gas Path &gt; Flue Gas Ducts and Expansion Joints</x:v>
      </x:c>
      <x:c r="I129" s="30" t="str">
        <x:v>—</x:v>
      </x:c>
      <x:c r="J129" s="30" t="str">
        <x:v>Planned — not started</x:v>
      </x:c>
      <x:c r="K129" s="30" t="str">
        <x:v>Industrial equipment page</x:v>
      </x:c>
      <x:c r="L129" s="30" t="str">
        <x:v>Pending URL standard</x:v>
      </x:c>
      <x:c r="M129" s="30" t="str">
        <x:v>EQP.flue_gas_ducts_and_expansion_joints</x:v>
      </x:c>
      <x:c r="N129" s="30" t="str">
        <x:v>Required: labelled equipment diagram</x:v>
      </x:c>
      <x:c r="O129" s="30" t="str">
        <x:v>Per frozen page-format standard</x:v>
      </x:c>
      <x:c r="P129" s="30" t="str">
        <x:v>Fundamental textbooks only — assign before drafting</x:v>
      </x:c>
      <x:c r="Q129" s="30" t="str">
        <x:v>Not started</x:v>
      </x:c>
      <x:c r="R129" s="30" t="str">
        <x:v>Not published</x:v>
      </x:c>
      <x:c r="S129" s="31" t="str">
        <x:v>New knowledge/data page; prepare only after editorial workflow is approved.</x:v>
      </x:c>
    </x:row>
    <x:row r="130" ht="42" customHeight="1">
      <x:c r="A130" s="50" t="str">
        <x:v>ICH-EQP-021</x:v>
      </x:c>
      <x:c r="B130" s="30" t="str">
        <x:v>Knowledge/data page</x:v>
      </x:c>
      <x:c r="C130" s="53" t="str">
        <x:v>Industrial Equipment</x:v>
      </x:c>
      <x:c r="D130" s="30" t="str">
        <x:v>Boilers, Steam and Combustion Equipment</x:v>
      </x:c>
      <x:c r="E130" s="30" t="str">
        <x:v>Boiler Exit Systems</x:v>
      </x:c>
      <x:c r="F130" s="30" t="str">
        <x:v>Flue Gas Path</x:v>
      </x:c>
      <x:c r="G130" s="30" t="str">
        <x:v>Dampers in Boiler and Flue Gas Systems</x:v>
      </x:c>
      <x:c r="H130" s="30" t="str">
        <x:v>Industrial Equipment &gt; Boilers, Steam and Combustion Equipment &gt; Boiler Exit Systems &gt; Flue Gas Path &gt; Dampers in Boiler and Flue Gas Systems</x:v>
      </x:c>
      <x:c r="I130" s="30" t="str">
        <x:v>—</x:v>
      </x:c>
      <x:c r="J130" s="30" t="str">
        <x:v>Planned — not started</x:v>
      </x:c>
      <x:c r="K130" s="30" t="str">
        <x:v>Industrial equipment page</x:v>
      </x:c>
      <x:c r="L130" s="30" t="str">
        <x:v>Pending URL standard</x:v>
      </x:c>
      <x:c r="M130" s="30" t="str">
        <x:v>EQP.dampers_in_boiler_and_flue_gas_systems</x:v>
      </x:c>
      <x:c r="N130" s="30" t="str">
        <x:v>Required: labelled equipment diagram</x:v>
      </x:c>
      <x:c r="O130" s="30" t="str">
        <x:v>Per frozen page-format standard</x:v>
      </x:c>
      <x:c r="P130" s="30" t="str">
        <x:v>Fundamental textbooks only — assign before drafting</x:v>
      </x:c>
      <x:c r="Q130" s="30" t="str">
        <x:v>Not started</x:v>
      </x:c>
      <x:c r="R130" s="30" t="str">
        <x:v>Not published</x:v>
      </x:c>
      <x:c r="S130" s="31" t="str">
        <x:v>New knowledge/data page; prepare only after editorial workflow is approved.</x:v>
      </x:c>
    </x:row>
    <x:row r="131" ht="42" customHeight="1">
      <x:c r="A131" s="50" t="str">
        <x:v>ICH-EQP-022</x:v>
      </x:c>
      <x:c r="B131" s="30" t="str">
        <x:v>Knowledge/data page</x:v>
      </x:c>
      <x:c r="C131" s="53" t="str">
        <x:v>Industrial Equipment</x:v>
      </x:c>
      <x:c r="D131" s="30" t="str">
        <x:v>Boilers, Steam and Combustion Equipment</x:v>
      </x:c>
      <x:c r="E131" s="30" t="str">
        <x:v>Boiler Exit Systems</x:v>
      </x:c>
      <x:c r="F131" s="30" t="str">
        <x:v>Ash Systems</x:v>
      </x:c>
      <x:c r="G131" s="30" t="str">
        <x:v>Bottom Ash Handling System</x:v>
      </x:c>
      <x:c r="H131" s="30" t="str">
        <x:v>Industrial Equipment &gt; Boilers, Steam and Combustion Equipment &gt; Boiler Exit Systems &gt; Ash Systems &gt; Bottom Ash Handling System</x:v>
      </x:c>
      <x:c r="I131" s="30" t="str">
        <x:v>—</x:v>
      </x:c>
      <x:c r="J131" s="30" t="str">
        <x:v>Planned — not started</x:v>
      </x:c>
      <x:c r="K131" s="30" t="str">
        <x:v>Industrial equipment page</x:v>
      </x:c>
      <x:c r="L131" s="30" t="str">
        <x:v>Pending URL standard</x:v>
      </x:c>
      <x:c r="M131" s="30" t="str">
        <x:v>EQP.bottom_ash_handling_system</x:v>
      </x:c>
      <x:c r="N131" s="30" t="str">
        <x:v>Required: labelled equipment diagram</x:v>
      </x:c>
      <x:c r="O131" s="30" t="str">
        <x:v>Per frozen page-format standard</x:v>
      </x:c>
      <x:c r="P131" s="30" t="str">
        <x:v>Fundamental textbooks only — assign before drafting</x:v>
      </x:c>
      <x:c r="Q131" s="30" t="str">
        <x:v>Not started</x:v>
      </x:c>
      <x:c r="R131" s="30" t="str">
        <x:v>Not published</x:v>
      </x:c>
      <x:c r="S131" s="31" t="str">
        <x:v>New knowledge/data page; prepare only after editorial workflow is approved.</x:v>
      </x:c>
    </x:row>
    <x:row r="132" ht="42" customHeight="1">
      <x:c r="A132" s="50" t="str">
        <x:v>ICH-EQP-023</x:v>
      </x:c>
      <x:c r="B132" s="30" t="str">
        <x:v>Knowledge/data page</x:v>
      </x:c>
      <x:c r="C132" s="53" t="str">
        <x:v>Industrial Equipment</x:v>
      </x:c>
      <x:c r="D132" s="30" t="str">
        <x:v>Boilers, Steam and Combustion Equipment</x:v>
      </x:c>
      <x:c r="E132" s="30" t="str">
        <x:v>Boiler Exit Systems</x:v>
      </x:c>
      <x:c r="F132" s="30" t="str">
        <x:v>Ash Systems</x:v>
      </x:c>
      <x:c r="G132" s="30" t="str">
        <x:v>Fly Ash Handling System</x:v>
      </x:c>
      <x:c r="H132" s="30" t="str">
        <x:v>Industrial Equipment &gt; Boilers, Steam and Combustion Equipment &gt; Boiler Exit Systems &gt; Ash Systems &gt; Fly Ash Handling System</x:v>
      </x:c>
      <x:c r="I132" s="30" t="str">
        <x:v>—</x:v>
      </x:c>
      <x:c r="J132" s="30" t="str">
        <x:v>Planned — not started</x:v>
      </x:c>
      <x:c r="K132" s="30" t="str">
        <x:v>Industrial equipment page</x:v>
      </x:c>
      <x:c r="L132" s="30" t="str">
        <x:v>Pending URL standard</x:v>
      </x:c>
      <x:c r="M132" s="30" t="str">
        <x:v>EQP.fly_ash_handling_system</x:v>
      </x:c>
      <x:c r="N132" s="30" t="str">
        <x:v>Required: labelled equipment diagram</x:v>
      </x:c>
      <x:c r="O132" s="30" t="str">
        <x:v>Per frozen page-format standard</x:v>
      </x:c>
      <x:c r="P132" s="30" t="str">
        <x:v>Fundamental textbooks only — assign before drafting</x:v>
      </x:c>
      <x:c r="Q132" s="30" t="str">
        <x:v>Not started</x:v>
      </x:c>
      <x:c r="R132" s="30" t="str">
        <x:v>Not published</x:v>
      </x:c>
      <x:c r="S132" s="31" t="str">
        <x:v>New knowledge/data page; prepare only after editorial workflow is approved.</x:v>
      </x:c>
    </x:row>
    <x:row r="133" ht="42" customHeight="1">
      <x:c r="A133" s="50" t="str">
        <x:v>ICH-EQP-024</x:v>
      </x:c>
      <x:c r="B133" s="30" t="str">
        <x:v>Knowledge/data page</x:v>
      </x:c>
      <x:c r="C133" s="53" t="str">
        <x:v>Industrial Equipment</x:v>
      </x:c>
      <x:c r="D133" s="30" t="str">
        <x:v>Conveying Systems</x:v>
      </x:c>
      <x:c r="E133" s="30" t="str">
        <x:v>Belt Conveyors</x:v>
      </x:c>
      <x:c r="F133" s="30" t="str">
        <x:v>Standard Belt Conveyors</x:v>
      </x:c>
      <x:c r="G133" s="30" t="str">
        <x:v>Flat Belt Conveyor</x:v>
      </x:c>
      <x:c r="H133" s="30" t="str">
        <x:v>Industrial Equipment &gt; Conveying Systems &gt; Belt Conveyors &gt; Standard Belt Conveyors &gt; Flat Belt Conveyor</x:v>
      </x:c>
      <x:c r="I133" s="30" t="str">
        <x:v>—</x:v>
      </x:c>
      <x:c r="J133" s="30" t="str">
        <x:v>Planned — not started</x:v>
      </x:c>
      <x:c r="K133" s="30" t="str">
        <x:v>Industrial equipment page</x:v>
      </x:c>
      <x:c r="L133" s="30" t="str">
        <x:v>Pending URL standard</x:v>
      </x:c>
      <x:c r="M133" s="30" t="str">
        <x:v>EQP.flat_belt_conveyor</x:v>
      </x:c>
      <x:c r="N133" s="30" t="str">
        <x:v>Required: labelled equipment diagram</x:v>
      </x:c>
      <x:c r="O133" s="30" t="str">
        <x:v>Per frozen page-format standard</x:v>
      </x:c>
      <x:c r="P133" s="30" t="str">
        <x:v>Fundamental textbooks only — assign before drafting</x:v>
      </x:c>
      <x:c r="Q133" s="30" t="str">
        <x:v>Not started</x:v>
      </x:c>
      <x:c r="R133" s="30" t="str">
        <x:v>Not published</x:v>
      </x:c>
      <x:c r="S133" s="31" t="str">
        <x:v>New knowledge/data page; prepare only after editorial workflow is approved.</x:v>
      </x:c>
    </x:row>
    <x:row r="134" ht="42" customHeight="1">
      <x:c r="A134" s="50" t="str">
        <x:v>ICH-EQP-025</x:v>
      </x:c>
      <x:c r="B134" s="30" t="str">
        <x:v>Knowledge/data page</x:v>
      </x:c>
      <x:c r="C134" s="53" t="str">
        <x:v>Industrial Equipment</x:v>
      </x:c>
      <x:c r="D134" s="30" t="str">
        <x:v>Conveying Systems</x:v>
      </x:c>
      <x:c r="E134" s="30" t="str">
        <x:v>Belt Conveyors</x:v>
      </x:c>
      <x:c r="F134" s="30" t="str">
        <x:v>Standard Belt Conveyors</x:v>
      </x:c>
      <x:c r="G134" s="30" t="str">
        <x:v>Troughed Belt Conveyor</x:v>
      </x:c>
      <x:c r="H134" s="30" t="str">
        <x:v>Industrial Equipment &gt; Conveying Systems &gt; Belt Conveyors &gt; Standard Belt Conveyors &gt; Troughed Belt Conveyor</x:v>
      </x:c>
      <x:c r="I134" s="30" t="str">
        <x:v>—</x:v>
      </x:c>
      <x:c r="J134" s="30" t="str">
        <x:v>Planned — not started</x:v>
      </x:c>
      <x:c r="K134" s="30" t="str">
        <x:v>Industrial equipment page</x:v>
      </x:c>
      <x:c r="L134" s="30" t="str">
        <x:v>Pending URL standard</x:v>
      </x:c>
      <x:c r="M134" s="30" t="str">
        <x:v>EQP.troughed_belt_conveyor</x:v>
      </x:c>
      <x:c r="N134" s="30" t="str">
        <x:v>Required: labelled equipment diagram</x:v>
      </x:c>
      <x:c r="O134" s="30" t="str">
        <x:v>Per frozen page-format standard</x:v>
      </x:c>
      <x:c r="P134" s="30" t="str">
        <x:v>Fundamental textbooks only — assign before drafting</x:v>
      </x:c>
      <x:c r="Q134" s="30" t="str">
        <x:v>Not started</x:v>
      </x:c>
      <x:c r="R134" s="30" t="str">
        <x:v>Not published</x:v>
      </x:c>
      <x:c r="S134" s="31" t="str">
        <x:v>New knowledge/data page; prepare only after editorial workflow is approved.</x:v>
      </x:c>
    </x:row>
    <x:row r="135" ht="42" customHeight="1">
      <x:c r="A135" s="50" t="str">
        <x:v>ICH-EQP-026</x:v>
      </x:c>
      <x:c r="B135" s="30" t="str">
        <x:v>Knowledge/data page</x:v>
      </x:c>
      <x:c r="C135" s="53" t="str">
        <x:v>Industrial Equipment</x:v>
      </x:c>
      <x:c r="D135" s="30" t="str">
        <x:v>Conveying Systems</x:v>
      </x:c>
      <x:c r="E135" s="30" t="str">
        <x:v>Belt Conveyors</x:v>
      </x:c>
      <x:c r="F135" s="30" t="str">
        <x:v>Special Belt Conveyors</x:v>
      </x:c>
      <x:c r="G135" s="30" t="str">
        <x:v>Pipe Belt Conveyor</x:v>
      </x:c>
      <x:c r="H135" s="30" t="str">
        <x:v>Industrial Equipment &gt; Conveying Systems &gt; Belt Conveyors &gt; Special Belt Conveyors &gt; Pipe Belt Conveyor</x:v>
      </x:c>
      <x:c r="I135" s="30" t="str">
        <x:v>—</x:v>
      </x:c>
      <x:c r="J135" s="30" t="str">
        <x:v>Planned — not started</x:v>
      </x:c>
      <x:c r="K135" s="30" t="str">
        <x:v>Industrial equipment page</x:v>
      </x:c>
      <x:c r="L135" s="30" t="str">
        <x:v>Pending URL standard</x:v>
      </x:c>
      <x:c r="M135" s="30" t="str">
        <x:v>EQP.pipe_belt_conveyor</x:v>
      </x:c>
      <x:c r="N135" s="30" t="str">
        <x:v>Required: labelled equipment diagram</x:v>
      </x:c>
      <x:c r="O135" s="30" t="str">
        <x:v>Per frozen page-format standard</x:v>
      </x:c>
      <x:c r="P135" s="30" t="str">
        <x:v>Fundamental textbooks only — assign before drafting</x:v>
      </x:c>
      <x:c r="Q135" s="30" t="str">
        <x:v>Not started</x:v>
      </x:c>
      <x:c r="R135" s="30" t="str">
        <x:v>Not published</x:v>
      </x:c>
      <x:c r="S135" s="31" t="str">
        <x:v>New knowledge/data page; prepare only after editorial workflow is approved.</x:v>
      </x:c>
    </x:row>
    <x:row r="136" ht="42" customHeight="1">
      <x:c r="A136" s="50" t="str">
        <x:v>ICH-EQP-027</x:v>
      </x:c>
      <x:c r="B136" s="30" t="str">
        <x:v>Knowledge/data page</x:v>
      </x:c>
      <x:c r="C136" s="53" t="str">
        <x:v>Industrial Equipment</x:v>
      </x:c>
      <x:c r="D136" s="30" t="str">
        <x:v>Conveying Systems</x:v>
      </x:c>
      <x:c r="E136" s="30" t="str">
        <x:v>Belt Conveyors</x:v>
      </x:c>
      <x:c r="F136" s="30" t="str">
        <x:v>Special Belt Conveyors</x:v>
      </x:c>
      <x:c r="G136" s="30" t="str">
        <x:v>Sidewall and Cleated Belt Conveyor</x:v>
      </x:c>
      <x:c r="H136" s="30" t="str">
        <x:v>Industrial Equipment &gt; Conveying Systems &gt; Belt Conveyors &gt; Special Belt Conveyors &gt; Sidewall and Cleated Belt Conveyor</x:v>
      </x:c>
      <x:c r="I136" s="30" t="str">
        <x:v>—</x:v>
      </x:c>
      <x:c r="J136" s="30" t="str">
        <x:v>Planned — not started</x:v>
      </x:c>
      <x:c r="K136" s="30" t="str">
        <x:v>Industrial equipment page</x:v>
      </x:c>
      <x:c r="L136" s="30" t="str">
        <x:v>Pending URL standard</x:v>
      </x:c>
      <x:c r="M136" s="30" t="str">
        <x:v>EQP.sidewall_and_cleated_belt_conveyor</x:v>
      </x:c>
      <x:c r="N136" s="30" t="str">
        <x:v>Required: labelled equipment diagram</x:v>
      </x:c>
      <x:c r="O136" s="30" t="str">
        <x:v>Per frozen page-format standard</x:v>
      </x:c>
      <x:c r="P136" s="30" t="str">
        <x:v>Fundamental textbooks only — assign before drafting</x:v>
      </x:c>
      <x:c r="Q136" s="30" t="str">
        <x:v>Not started</x:v>
      </x:c>
      <x:c r="R136" s="30" t="str">
        <x:v>Not published</x:v>
      </x:c>
      <x:c r="S136" s="31" t="str">
        <x:v>New knowledge/data page; prepare only after editorial workflow is approved.</x:v>
      </x:c>
    </x:row>
    <x:row r="137" ht="42" customHeight="1">
      <x:c r="A137" s="50" t="str">
        <x:v>ICH-EQP-028</x:v>
      </x:c>
      <x:c r="B137" s="30" t="str">
        <x:v>Knowledge/data page</x:v>
      </x:c>
      <x:c r="C137" s="53" t="str">
        <x:v>Industrial Equipment</x:v>
      </x:c>
      <x:c r="D137" s="30" t="str">
        <x:v>Conveying Systems</x:v>
      </x:c>
      <x:c r="E137" s="30" t="str">
        <x:v>Belt Conveyors</x:v>
      </x:c>
      <x:c r="F137" s="30" t="str">
        <x:v>Special Belt Conveyors</x:v>
      </x:c>
      <x:c r="G137" s="30" t="str">
        <x:v>Shuttle and Reversible Belt Conveyor</x:v>
      </x:c>
      <x:c r="H137" s="30" t="str">
        <x:v>Industrial Equipment &gt; Conveying Systems &gt; Belt Conveyors &gt; Special Belt Conveyors &gt; Shuttle and Reversible Belt Conveyor</x:v>
      </x:c>
      <x:c r="I137" s="30" t="str">
        <x:v>—</x:v>
      </x:c>
      <x:c r="J137" s="30" t="str">
        <x:v>Planned — not started</x:v>
      </x:c>
      <x:c r="K137" s="30" t="str">
        <x:v>Industrial equipment page</x:v>
      </x:c>
      <x:c r="L137" s="30" t="str">
        <x:v>Pending URL standard</x:v>
      </x:c>
      <x:c r="M137" s="30" t="str">
        <x:v>EQP.shuttle_and_reversible_belt_conveyor</x:v>
      </x:c>
      <x:c r="N137" s="30" t="str">
        <x:v>Required: labelled equipment diagram</x:v>
      </x:c>
      <x:c r="O137" s="30" t="str">
        <x:v>Per frozen page-format standard</x:v>
      </x:c>
      <x:c r="P137" s="30" t="str">
        <x:v>Fundamental textbooks only — assign before drafting</x:v>
      </x:c>
      <x:c r="Q137" s="30" t="str">
        <x:v>Not started</x:v>
      </x:c>
      <x:c r="R137" s="30" t="str">
        <x:v>Not published</x:v>
      </x:c>
      <x:c r="S137" s="31" t="str">
        <x:v>New knowledge/data page; prepare only after editorial workflow is approved.</x:v>
      </x:c>
    </x:row>
    <x:row r="138" ht="42" customHeight="1">
      <x:c r="A138" s="50" t="str">
        <x:v>ICH-EQP-029</x:v>
      </x:c>
      <x:c r="B138" s="30" t="str">
        <x:v>Knowledge/data page</x:v>
      </x:c>
      <x:c r="C138" s="53" t="str">
        <x:v>Industrial Equipment</x:v>
      </x:c>
      <x:c r="D138" s="30" t="str">
        <x:v>Conveying Systems</x:v>
      </x:c>
      <x:c r="E138" s="30" t="str">
        <x:v>Belt Conveyors</x:v>
      </x:c>
      <x:c r="F138" s="30" t="str">
        <x:v>Yard Equipment</x:v>
      </x:c>
      <x:c r="G138" s="30" t="str">
        <x:v>Stacker</x:v>
      </x:c>
      <x:c r="H138" s="30" t="str">
        <x:v>Industrial Equipment &gt; Conveying Systems &gt; Belt Conveyors &gt; Yard Equipment &gt; Stacker</x:v>
      </x:c>
      <x:c r="I138" s="30" t="str">
        <x:v>—</x:v>
      </x:c>
      <x:c r="J138" s="30" t="str">
        <x:v>Planned — not started</x:v>
      </x:c>
      <x:c r="K138" s="30" t="str">
        <x:v>Industrial equipment page</x:v>
      </x:c>
      <x:c r="L138" s="30" t="str">
        <x:v>Pending URL standard</x:v>
      </x:c>
      <x:c r="M138" s="30" t="str">
        <x:v>EQP.stacker</x:v>
      </x:c>
      <x:c r="N138" s="30" t="str">
        <x:v>Required: labelled equipment diagram</x:v>
      </x:c>
      <x:c r="O138" s="30" t="str">
        <x:v>Per frozen page-format standard</x:v>
      </x:c>
      <x:c r="P138" s="30" t="str">
        <x:v>Fundamental textbooks only — assign before drafting</x:v>
      </x:c>
      <x:c r="Q138" s="30" t="str">
        <x:v>Not started</x:v>
      </x:c>
      <x:c r="R138" s="30" t="str">
        <x:v>Not published</x:v>
      </x:c>
      <x:c r="S138" s="31" t="str">
        <x:v>New knowledge/data page; prepare only after editorial workflow is approved.</x:v>
      </x:c>
    </x:row>
    <x:row r="139" ht="42" customHeight="1">
      <x:c r="A139" s="50" t="str">
        <x:v>ICH-EQP-030</x:v>
      </x:c>
      <x:c r="B139" s="30" t="str">
        <x:v>Knowledge/data page</x:v>
      </x:c>
      <x:c r="C139" s="53" t="str">
        <x:v>Industrial Equipment</x:v>
      </x:c>
      <x:c r="D139" s="30" t="str">
        <x:v>Conveying Systems</x:v>
      </x:c>
      <x:c r="E139" s="30" t="str">
        <x:v>Belt Conveyors</x:v>
      </x:c>
      <x:c r="F139" s="30" t="str">
        <x:v>Yard Equipment</x:v>
      </x:c>
      <x:c r="G139" s="30" t="str">
        <x:v>Reclaimer</x:v>
      </x:c>
      <x:c r="H139" s="30" t="str">
        <x:v>Industrial Equipment &gt; Conveying Systems &gt; Belt Conveyors &gt; Yard Equipment &gt; Reclaimer</x:v>
      </x:c>
      <x:c r="I139" s="30" t="str">
        <x:v>—</x:v>
      </x:c>
      <x:c r="J139" s="30" t="str">
        <x:v>Planned — not started</x:v>
      </x:c>
      <x:c r="K139" s="30" t="str">
        <x:v>Industrial equipment page</x:v>
      </x:c>
      <x:c r="L139" s="30" t="str">
        <x:v>Pending URL standard</x:v>
      </x:c>
      <x:c r="M139" s="30" t="str">
        <x:v>EQP.reclaimer</x:v>
      </x:c>
      <x:c r="N139" s="30" t="str">
        <x:v>Required: labelled equipment diagram</x:v>
      </x:c>
      <x:c r="O139" s="30" t="str">
        <x:v>Per frozen page-format standard</x:v>
      </x:c>
      <x:c r="P139" s="30" t="str">
        <x:v>Fundamental textbooks only — assign before drafting</x:v>
      </x:c>
      <x:c r="Q139" s="30" t="str">
        <x:v>Not started</x:v>
      </x:c>
      <x:c r="R139" s="30" t="str">
        <x:v>Not published</x:v>
      </x:c>
      <x:c r="S139" s="31" t="str">
        <x:v>New knowledge/data page; prepare only after editorial workflow is approved.</x:v>
      </x:c>
    </x:row>
    <x:row r="140" ht="42" customHeight="1">
      <x:c r="A140" s="50" t="str">
        <x:v>ICH-EQP-031</x:v>
      </x:c>
      <x:c r="B140" s="30" t="str">
        <x:v>Knowledge/data page</x:v>
      </x:c>
      <x:c r="C140" s="53" t="str">
        <x:v>Industrial Equipment</x:v>
      </x:c>
      <x:c r="D140" s="30" t="str">
        <x:v>Conveying Systems</x:v>
      </x:c>
      <x:c r="E140" s="30" t="str">
        <x:v>Screw Conveyors</x:v>
      </x:c>
      <x:c r="F140" s="30" t="str">
        <x:v>Standard Screw Conveyors</x:v>
      </x:c>
      <x:c r="G140" s="30" t="str">
        <x:v>U-Trough Screw Conveyor</x:v>
      </x:c>
      <x:c r="H140" s="30" t="str">
        <x:v>Industrial Equipment &gt; Conveying Systems &gt; Screw Conveyors &gt; Standard Screw Conveyors &gt; U-Trough Screw Conveyor</x:v>
      </x:c>
      <x:c r="I140" s="30" t="str">
        <x:v>—</x:v>
      </x:c>
      <x:c r="J140" s="30" t="str">
        <x:v>Planned — not started</x:v>
      </x:c>
      <x:c r="K140" s="30" t="str">
        <x:v>Industrial equipment page</x:v>
      </x:c>
      <x:c r="L140" s="30" t="str">
        <x:v>Pending URL standard</x:v>
      </x:c>
      <x:c r="M140" s="30" t="str">
        <x:v>EQP.u_trough_screw_conveyor</x:v>
      </x:c>
      <x:c r="N140" s="30" t="str">
        <x:v>Required: labelled equipment diagram</x:v>
      </x:c>
      <x:c r="O140" s="30" t="str">
        <x:v>Per frozen page-format standard</x:v>
      </x:c>
      <x:c r="P140" s="30" t="str">
        <x:v>Fundamental textbooks only — assign before drafting</x:v>
      </x:c>
      <x:c r="Q140" s="30" t="str">
        <x:v>Not started</x:v>
      </x:c>
      <x:c r="R140" s="30" t="str">
        <x:v>Not published</x:v>
      </x:c>
      <x:c r="S140" s="31" t="str">
        <x:v>New knowledge/data page; prepare only after editorial workflow is approved.</x:v>
      </x:c>
    </x:row>
    <x:row r="141" ht="42" customHeight="1">
      <x:c r="A141" s="50" t="str">
        <x:v>ICH-EQP-032</x:v>
      </x:c>
      <x:c r="B141" s="30" t="str">
        <x:v>Knowledge/data page</x:v>
      </x:c>
      <x:c r="C141" s="53" t="str">
        <x:v>Industrial Equipment</x:v>
      </x:c>
      <x:c r="D141" s="30" t="str">
        <x:v>Conveying Systems</x:v>
      </x:c>
      <x:c r="E141" s="30" t="str">
        <x:v>Screw Conveyors</x:v>
      </x:c>
      <x:c r="F141" s="30" t="str">
        <x:v>Standard Screw Conveyors</x:v>
      </x:c>
      <x:c r="G141" s="30" t="str">
        <x:v>Tubular Screw Conveyor</x:v>
      </x:c>
      <x:c r="H141" s="30" t="str">
        <x:v>Industrial Equipment &gt; Conveying Systems &gt; Screw Conveyors &gt; Standard Screw Conveyors &gt; Tubular Screw Conveyor</x:v>
      </x:c>
      <x:c r="I141" s="30" t="str">
        <x:v>—</x:v>
      </x:c>
      <x:c r="J141" s="30" t="str">
        <x:v>Planned — not started</x:v>
      </x:c>
      <x:c r="K141" s="30" t="str">
        <x:v>Industrial equipment page</x:v>
      </x:c>
      <x:c r="L141" s="30" t="str">
        <x:v>Pending URL standard</x:v>
      </x:c>
      <x:c r="M141" s="30" t="str">
        <x:v>EQP.tubular_screw_conveyor</x:v>
      </x:c>
      <x:c r="N141" s="30" t="str">
        <x:v>Required: labelled equipment diagram</x:v>
      </x:c>
      <x:c r="O141" s="30" t="str">
        <x:v>Per frozen page-format standard</x:v>
      </x:c>
      <x:c r="P141" s="30" t="str">
        <x:v>Fundamental textbooks only — assign before drafting</x:v>
      </x:c>
      <x:c r="Q141" s="30" t="str">
        <x:v>Not started</x:v>
      </x:c>
      <x:c r="R141" s="30" t="str">
        <x:v>Not published</x:v>
      </x:c>
      <x:c r="S141" s="31" t="str">
        <x:v>New knowledge/data page; prepare only after editorial workflow is approved.</x:v>
      </x:c>
    </x:row>
    <x:row r="142" ht="42" customHeight="1">
      <x:c r="A142" s="50" t="str">
        <x:v>ICH-EQP-033</x:v>
      </x:c>
      <x:c r="B142" s="30" t="str">
        <x:v>Knowledge/data page</x:v>
      </x:c>
      <x:c r="C142" s="53" t="str">
        <x:v>Industrial Equipment</x:v>
      </x:c>
      <x:c r="D142" s="30" t="str">
        <x:v>Conveying Systems</x:v>
      </x:c>
      <x:c r="E142" s="30" t="str">
        <x:v>Screw Conveyors</x:v>
      </x:c>
      <x:c r="F142" s="30" t="str">
        <x:v>Special Screw Conveyors</x:v>
      </x:c>
      <x:c r="G142" s="30" t="str">
        <x:v>Inclined and Vertical Screw Conveyor</x:v>
      </x:c>
      <x:c r="H142" s="30" t="str">
        <x:v>Industrial Equipment &gt; Conveying Systems &gt; Screw Conveyors &gt; Special Screw Conveyors &gt; Inclined and Vertical Screw Conveyor</x:v>
      </x:c>
      <x:c r="I142" s="30" t="str">
        <x:v>—</x:v>
      </x:c>
      <x:c r="J142" s="30" t="str">
        <x:v>Planned — not started</x:v>
      </x:c>
      <x:c r="K142" s="30" t="str">
        <x:v>Industrial equipment page</x:v>
      </x:c>
      <x:c r="L142" s="30" t="str">
        <x:v>Pending URL standard</x:v>
      </x:c>
      <x:c r="M142" s="30" t="str">
        <x:v>EQP.inclined_and_vertical_screw_conveyor</x:v>
      </x:c>
      <x:c r="N142" s="30" t="str">
        <x:v>Required: labelled equipment diagram</x:v>
      </x:c>
      <x:c r="O142" s="30" t="str">
        <x:v>Per frozen page-format standard</x:v>
      </x:c>
      <x:c r="P142" s="30" t="str">
        <x:v>Fundamental textbooks only — assign before drafting</x:v>
      </x:c>
      <x:c r="Q142" s="30" t="str">
        <x:v>Not started</x:v>
      </x:c>
      <x:c r="R142" s="30" t="str">
        <x:v>Not published</x:v>
      </x:c>
      <x:c r="S142" s="31" t="str">
        <x:v>New knowledge/data page; prepare only after editorial workflow is approved.</x:v>
      </x:c>
    </x:row>
    <x:row r="143" ht="42" customHeight="1">
      <x:c r="A143" s="50" t="str">
        <x:v>ICH-EQP-034</x:v>
      </x:c>
      <x:c r="B143" s="30" t="str">
        <x:v>Knowledge/data page</x:v>
      </x:c>
      <x:c r="C143" s="53" t="str">
        <x:v>Industrial Equipment</x:v>
      </x:c>
      <x:c r="D143" s="30" t="str">
        <x:v>Conveying Systems</x:v>
      </x:c>
      <x:c r="E143" s="30" t="str">
        <x:v>Screw Conveyors</x:v>
      </x:c>
      <x:c r="F143" s="30" t="str">
        <x:v>Special Screw Conveyors</x:v>
      </x:c>
      <x:c r="G143" s="30" t="str">
        <x:v>Twin Screw Conveyor</x:v>
      </x:c>
      <x:c r="H143" s="30" t="str">
        <x:v>Industrial Equipment &gt; Conveying Systems &gt; Screw Conveyors &gt; Special Screw Conveyors &gt; Twin Screw Conveyor</x:v>
      </x:c>
      <x:c r="I143" s="30" t="str">
        <x:v>—</x:v>
      </x:c>
      <x:c r="J143" s="30" t="str">
        <x:v>Planned — not started</x:v>
      </x:c>
      <x:c r="K143" s="30" t="str">
        <x:v>Industrial equipment page</x:v>
      </x:c>
      <x:c r="L143" s="30" t="str">
        <x:v>Pending URL standard</x:v>
      </x:c>
      <x:c r="M143" s="30" t="str">
        <x:v>EQP.twin_screw_conveyor</x:v>
      </x:c>
      <x:c r="N143" s="30" t="str">
        <x:v>Required: labelled equipment diagram</x:v>
      </x:c>
      <x:c r="O143" s="30" t="str">
        <x:v>Per frozen page-format standard</x:v>
      </x:c>
      <x:c r="P143" s="30" t="str">
        <x:v>Fundamental textbooks only — assign before drafting</x:v>
      </x:c>
      <x:c r="Q143" s="30" t="str">
        <x:v>Not started</x:v>
      </x:c>
      <x:c r="R143" s="30" t="str">
        <x:v>Not published</x:v>
      </x:c>
      <x:c r="S143" s="31" t="str">
        <x:v>New knowledge/data page; prepare only after editorial workflow is approved.</x:v>
      </x:c>
    </x:row>
    <x:row r="144" ht="42" customHeight="1">
      <x:c r="A144" s="50" t="str">
        <x:v>ICH-EQP-035</x:v>
      </x:c>
      <x:c r="B144" s="30" t="str">
        <x:v>Knowledge/data page</x:v>
      </x:c>
      <x:c r="C144" s="53" t="str">
        <x:v>Industrial Equipment</x:v>
      </x:c>
      <x:c r="D144" s="30" t="str">
        <x:v>Conveying Systems</x:v>
      </x:c>
      <x:c r="E144" s="30" t="str">
        <x:v>Pneumatic Conveying Systems</x:v>
      </x:c>
      <x:c r="F144" s="30" t="str">
        <x:v>Dilute Phase Conveying</x:v>
      </x:c>
      <x:c r="G144" s="30" t="str">
        <x:v>Pressure Conveying System</x:v>
      </x:c>
      <x:c r="H144" s="30" t="str">
        <x:v>Industrial Equipment &gt; Conveying Systems &gt; Pneumatic Conveying Systems &gt; Dilute Phase Conveying &gt; Pressure Conveying System</x:v>
      </x:c>
      <x:c r="I144" s="30" t="str">
        <x:v>—</x:v>
      </x:c>
      <x:c r="J144" s="30" t="str">
        <x:v>Planned — not started</x:v>
      </x:c>
      <x:c r="K144" s="30" t="str">
        <x:v>Industrial equipment page</x:v>
      </x:c>
      <x:c r="L144" s="30" t="str">
        <x:v>Pending URL standard</x:v>
      </x:c>
      <x:c r="M144" s="30" t="str">
        <x:v>EQP.pressure_conveying_system</x:v>
      </x:c>
      <x:c r="N144" s="30" t="str">
        <x:v>Required: labelled equipment diagram</x:v>
      </x:c>
      <x:c r="O144" s="30" t="str">
        <x:v>Per frozen page-format standard</x:v>
      </x:c>
      <x:c r="P144" s="30" t="str">
        <x:v>Fundamental textbooks only — assign before drafting</x:v>
      </x:c>
      <x:c r="Q144" s="30" t="str">
        <x:v>Not started</x:v>
      </x:c>
      <x:c r="R144" s="30" t="str">
        <x:v>Not published</x:v>
      </x:c>
      <x:c r="S144" s="31" t="str">
        <x:v>New knowledge/data page; prepare only after editorial workflow is approved.</x:v>
      </x:c>
    </x:row>
    <x:row r="145" ht="42" customHeight="1">
      <x:c r="A145" s="50" t="str">
        <x:v>ICH-EQP-036</x:v>
      </x:c>
      <x:c r="B145" s="30" t="str">
        <x:v>Knowledge/data page</x:v>
      </x:c>
      <x:c r="C145" s="53" t="str">
        <x:v>Industrial Equipment</x:v>
      </x:c>
      <x:c r="D145" s="30" t="str">
        <x:v>Conveying Systems</x:v>
      </x:c>
      <x:c r="E145" s="30" t="str">
        <x:v>Pneumatic Conveying Systems</x:v>
      </x:c>
      <x:c r="F145" s="30" t="str">
        <x:v>Dilute Phase Conveying</x:v>
      </x:c>
      <x:c r="G145" s="30" t="str">
        <x:v>Vacuum Conveying System</x:v>
      </x:c>
      <x:c r="H145" s="30" t="str">
        <x:v>Industrial Equipment &gt; Conveying Systems &gt; Pneumatic Conveying Systems &gt; Dilute Phase Conveying &gt; Vacuum Conveying System</x:v>
      </x:c>
      <x:c r="I145" s="30" t="str">
        <x:v>—</x:v>
      </x:c>
      <x:c r="J145" s="30" t="str">
        <x:v>Planned — not started</x:v>
      </x:c>
      <x:c r="K145" s="30" t="str">
        <x:v>Industrial equipment page</x:v>
      </x:c>
      <x:c r="L145" s="30" t="str">
        <x:v>Pending URL standard</x:v>
      </x:c>
      <x:c r="M145" s="30" t="str">
        <x:v>EQP.vacuum_conveying_system</x:v>
      </x:c>
      <x:c r="N145" s="30" t="str">
        <x:v>Required: labelled equipment diagram</x:v>
      </x:c>
      <x:c r="O145" s="30" t="str">
        <x:v>Per frozen page-format standard</x:v>
      </x:c>
      <x:c r="P145" s="30" t="str">
        <x:v>Fundamental textbooks only — assign before drafting</x:v>
      </x:c>
      <x:c r="Q145" s="30" t="str">
        <x:v>Not started</x:v>
      </x:c>
      <x:c r="R145" s="30" t="str">
        <x:v>Not published</x:v>
      </x:c>
      <x:c r="S145" s="31" t="str">
        <x:v>New knowledge/data page; prepare only after editorial workflow is approved.</x:v>
      </x:c>
    </x:row>
    <x:row r="146" ht="42" customHeight="1">
      <x:c r="A146" s="50" t="str">
        <x:v>ICH-EQP-037</x:v>
      </x:c>
      <x:c r="B146" s="30" t="str">
        <x:v>Knowledge/data page</x:v>
      </x:c>
      <x:c r="C146" s="53" t="str">
        <x:v>Industrial Equipment</x:v>
      </x:c>
      <x:c r="D146" s="30" t="str">
        <x:v>Conveying Systems</x:v>
      </x:c>
      <x:c r="E146" s="30" t="str">
        <x:v>Pneumatic Conveying Systems</x:v>
      </x:c>
      <x:c r="F146" s="30" t="str">
        <x:v>Dense Phase Conveying</x:v>
      </x:c>
      <x:c r="G146" s="30" t="str">
        <x:v>Dense Phase Pressure Conveying System</x:v>
      </x:c>
      <x:c r="H146" s="30" t="str">
        <x:v>Industrial Equipment &gt; Conveying Systems &gt; Pneumatic Conveying Systems &gt; Dense Phase Conveying &gt; Dense Phase Pressure Conveying System</x:v>
      </x:c>
      <x:c r="I146" s="30" t="str">
        <x:v>—</x:v>
      </x:c>
      <x:c r="J146" s="30" t="str">
        <x:v>Planned — not started</x:v>
      </x:c>
      <x:c r="K146" s="30" t="str">
        <x:v>Industrial equipment page</x:v>
      </x:c>
      <x:c r="L146" s="30" t="str">
        <x:v>Pending URL standard</x:v>
      </x:c>
      <x:c r="M146" s="30" t="str">
        <x:v>EQP.dense_phase_pressure_conveying_system</x:v>
      </x:c>
      <x:c r="N146" s="30" t="str">
        <x:v>Required: labelled equipment diagram</x:v>
      </x:c>
      <x:c r="O146" s="30" t="str">
        <x:v>Per frozen page-format standard</x:v>
      </x:c>
      <x:c r="P146" s="30" t="str">
        <x:v>Fundamental textbooks only — assign before drafting</x:v>
      </x:c>
      <x:c r="Q146" s="30" t="str">
        <x:v>Not started</x:v>
      </x:c>
      <x:c r="R146" s="30" t="str">
        <x:v>Not published</x:v>
      </x:c>
      <x:c r="S146" s="31" t="str">
        <x:v>New knowledge/data page; prepare only after editorial workflow is approved.</x:v>
      </x:c>
    </x:row>
    <x:row r="147" ht="42" customHeight="1">
      <x:c r="A147" s="50" t="str">
        <x:v>ICH-EQP-038</x:v>
      </x:c>
      <x:c r="B147" s="30" t="str">
        <x:v>Knowledge/data page</x:v>
      </x:c>
      <x:c r="C147" s="53" t="str">
        <x:v>Industrial Equipment</x:v>
      </x:c>
      <x:c r="D147" s="30" t="str">
        <x:v>Conveying Systems</x:v>
      </x:c>
      <x:c r="E147" s="30" t="str">
        <x:v>Pneumatic Conveying Systems</x:v>
      </x:c>
      <x:c r="F147" s="30" t="str">
        <x:v>Dense Phase Conveying</x:v>
      </x:c>
      <x:c r="G147" s="30" t="str">
        <x:v>Dense Phase Vacuum Conveying System</x:v>
      </x:c>
      <x:c r="H147" s="30" t="str">
        <x:v>Industrial Equipment &gt; Conveying Systems &gt; Pneumatic Conveying Systems &gt; Dense Phase Conveying &gt; Dense Phase Vacuum Conveying System</x:v>
      </x:c>
      <x:c r="I147" s="30" t="str">
        <x:v>—</x:v>
      </x:c>
      <x:c r="J147" s="30" t="str">
        <x:v>Planned — not started</x:v>
      </x:c>
      <x:c r="K147" s="30" t="str">
        <x:v>Industrial equipment page</x:v>
      </x:c>
      <x:c r="L147" s="30" t="str">
        <x:v>Pending URL standard</x:v>
      </x:c>
      <x:c r="M147" s="30" t="str">
        <x:v>EQP.dense_phase_vacuum_conveying_system</x:v>
      </x:c>
      <x:c r="N147" s="30" t="str">
        <x:v>Required: labelled equipment diagram</x:v>
      </x:c>
      <x:c r="O147" s="30" t="str">
        <x:v>Per frozen page-format standard</x:v>
      </x:c>
      <x:c r="P147" s="30" t="str">
        <x:v>Fundamental textbooks only — assign before drafting</x:v>
      </x:c>
      <x:c r="Q147" s="30" t="str">
        <x:v>Not started</x:v>
      </x:c>
      <x:c r="R147" s="30" t="str">
        <x:v>Not published</x:v>
      </x:c>
      <x:c r="S147" s="31" t="str">
        <x:v>New knowledge/data page; prepare only after editorial workflow is approved.</x:v>
      </x:c>
    </x:row>
    <x:row r="148" ht="42" customHeight="1">
      <x:c r="A148" s="50" t="str">
        <x:v>ICH-EQP-039</x:v>
      </x:c>
      <x:c r="B148" s="30" t="str">
        <x:v>Knowledge/data page</x:v>
      </x:c>
      <x:c r="C148" s="53" t="str">
        <x:v>Industrial Equipment</x:v>
      </x:c>
      <x:c r="D148" s="30" t="str">
        <x:v>Conveying Systems</x:v>
      </x:c>
      <x:c r="E148" s="30" t="str">
        <x:v>Chain and Drag Conveyors</x:v>
      </x:c>
      <x:c r="F148" s="30" t="str">
        <x:v>Drag Conveyors</x:v>
      </x:c>
      <x:c r="G148" s="30" t="str">
        <x:v>En-Masse and Redler Conveyor</x:v>
      </x:c>
      <x:c r="H148" s="30" t="str">
        <x:v>Industrial Equipment &gt; Conveying Systems &gt; Chain and Drag Conveyors &gt; Drag Conveyors &gt; En-Masse and Redler Conveyor</x:v>
      </x:c>
      <x:c r="I148" s="30" t="str">
        <x:v>—</x:v>
      </x:c>
      <x:c r="J148" s="30" t="str">
        <x:v>Planned — not started</x:v>
      </x:c>
      <x:c r="K148" s="30" t="str">
        <x:v>Industrial equipment page</x:v>
      </x:c>
      <x:c r="L148" s="30" t="str">
        <x:v>Pending URL standard</x:v>
      </x:c>
      <x:c r="M148" s="30" t="str">
        <x:v>EQP.en_masse_and_redler_conveyor</x:v>
      </x:c>
      <x:c r="N148" s="30" t="str">
        <x:v>Required: labelled equipment diagram</x:v>
      </x:c>
      <x:c r="O148" s="30" t="str">
        <x:v>Per frozen page-format standard</x:v>
      </x:c>
      <x:c r="P148" s="30" t="str">
        <x:v>Fundamental textbooks only — assign before drafting</x:v>
      </x:c>
      <x:c r="Q148" s="30" t="str">
        <x:v>Not started</x:v>
      </x:c>
      <x:c r="R148" s="30" t="str">
        <x:v>Not published</x:v>
      </x:c>
      <x:c r="S148" s="31" t="str">
        <x:v>New knowledge/data page; prepare only after editorial workflow is approved.</x:v>
      </x:c>
    </x:row>
    <x:row r="149" ht="42" customHeight="1">
      <x:c r="A149" s="50" t="str">
        <x:v>ICH-EQP-040</x:v>
      </x:c>
      <x:c r="B149" s="30" t="str">
        <x:v>Knowledge/data page</x:v>
      </x:c>
      <x:c r="C149" s="53" t="str">
        <x:v>Industrial Equipment</x:v>
      </x:c>
      <x:c r="D149" s="30" t="str">
        <x:v>Conveying Systems</x:v>
      </x:c>
      <x:c r="E149" s="30" t="str">
        <x:v>Chain and Drag Conveyors</x:v>
      </x:c>
      <x:c r="F149" s="30" t="str">
        <x:v>Drag Conveyors</x:v>
      </x:c>
      <x:c r="G149" s="30" t="str">
        <x:v>Flight Conveyor</x:v>
      </x:c>
      <x:c r="H149" s="30" t="str">
        <x:v>Industrial Equipment &gt; Conveying Systems &gt; Chain and Drag Conveyors &gt; Drag Conveyors &gt; Flight Conveyor</x:v>
      </x:c>
      <x:c r="I149" s="30" t="str">
        <x:v>—</x:v>
      </x:c>
      <x:c r="J149" s="30" t="str">
        <x:v>Planned — not started</x:v>
      </x:c>
      <x:c r="K149" s="30" t="str">
        <x:v>Industrial equipment page</x:v>
      </x:c>
      <x:c r="L149" s="30" t="str">
        <x:v>Pending URL standard</x:v>
      </x:c>
      <x:c r="M149" s="30" t="str">
        <x:v>EQP.flight_conveyor</x:v>
      </x:c>
      <x:c r="N149" s="30" t="str">
        <x:v>Required: labelled equipment diagram</x:v>
      </x:c>
      <x:c r="O149" s="30" t="str">
        <x:v>Per frozen page-format standard</x:v>
      </x:c>
      <x:c r="P149" s="30" t="str">
        <x:v>Fundamental textbooks only — assign before drafting</x:v>
      </x:c>
      <x:c r="Q149" s="30" t="str">
        <x:v>Not started</x:v>
      </x:c>
      <x:c r="R149" s="30" t="str">
        <x:v>Not published</x:v>
      </x:c>
      <x:c r="S149" s="31" t="str">
        <x:v>New knowledge/data page; prepare only after editorial workflow is approved.</x:v>
      </x:c>
    </x:row>
    <x:row r="150" ht="42" customHeight="1">
      <x:c r="A150" s="50" t="str">
        <x:v>ICH-EQP-041</x:v>
      </x:c>
      <x:c r="B150" s="30" t="str">
        <x:v>Knowledge/data page</x:v>
      </x:c>
      <x:c r="C150" s="53" t="str">
        <x:v>Industrial Equipment</x:v>
      </x:c>
      <x:c r="D150" s="30" t="str">
        <x:v>Conveying Systems</x:v>
      </x:c>
      <x:c r="E150" s="30" t="str">
        <x:v>Chain and Drag Conveyors</x:v>
      </x:c>
      <x:c r="F150" s="30" t="str">
        <x:v>Heavy-Duty Conveyors</x:v>
      </x:c>
      <x:c r="G150" s="30" t="str">
        <x:v>Apron and Pan Conveyor</x:v>
      </x:c>
      <x:c r="H150" s="30" t="str">
        <x:v>Industrial Equipment &gt; Conveying Systems &gt; Chain and Drag Conveyors &gt; Heavy-Duty Conveyors &gt; Apron and Pan Conveyor</x:v>
      </x:c>
      <x:c r="I150" s="30" t="str">
        <x:v>—</x:v>
      </x:c>
      <x:c r="J150" s="30" t="str">
        <x:v>Planned — not started</x:v>
      </x:c>
      <x:c r="K150" s="30" t="str">
        <x:v>Industrial equipment page</x:v>
      </x:c>
      <x:c r="L150" s="30" t="str">
        <x:v>Pending URL standard</x:v>
      </x:c>
      <x:c r="M150" s="30" t="str">
        <x:v>EQP.apron_and_pan_conveyor</x:v>
      </x:c>
      <x:c r="N150" s="30" t="str">
        <x:v>Required: labelled equipment diagram</x:v>
      </x:c>
      <x:c r="O150" s="30" t="str">
        <x:v>Per frozen page-format standard</x:v>
      </x:c>
      <x:c r="P150" s="30" t="str">
        <x:v>Fundamental textbooks only — assign before drafting</x:v>
      </x:c>
      <x:c r="Q150" s="30" t="str">
        <x:v>Not started</x:v>
      </x:c>
      <x:c r="R150" s="30" t="str">
        <x:v>Not published</x:v>
      </x:c>
      <x:c r="S150" s="31" t="str">
        <x:v>New knowledge/data page; prepare only after editorial workflow is approved.</x:v>
      </x:c>
    </x:row>
    <x:row r="151" ht="42" customHeight="1">
      <x:c r="A151" s="50" t="str">
        <x:v>ICH-EQP-042</x:v>
      </x:c>
      <x:c r="B151" s="30" t="str">
        <x:v>Knowledge/data page</x:v>
      </x:c>
      <x:c r="C151" s="53" t="str">
        <x:v>Industrial Equipment</x:v>
      </x:c>
      <x:c r="D151" s="30" t="str">
        <x:v>Conveying Systems</x:v>
      </x:c>
      <x:c r="E151" s="30" t="str">
        <x:v>Chain and Drag Conveyors</x:v>
      </x:c>
      <x:c r="F151" s="30" t="str">
        <x:v>Heavy-Duty Conveyors</x:v>
      </x:c>
      <x:c r="G151" s="30" t="str">
        <x:v>Submerged Scraper Conveyor</x:v>
      </x:c>
      <x:c r="H151" s="30" t="str">
        <x:v>Industrial Equipment &gt; Conveying Systems &gt; Chain and Drag Conveyors &gt; Heavy-Duty Conveyors &gt; Submerged Scraper Conveyor</x:v>
      </x:c>
      <x:c r="I151" s="30" t="str">
        <x:v>—</x:v>
      </x:c>
      <x:c r="J151" s="30" t="str">
        <x:v>Planned — not started</x:v>
      </x:c>
      <x:c r="K151" s="30" t="str">
        <x:v>Industrial equipment page</x:v>
      </x:c>
      <x:c r="L151" s="30" t="str">
        <x:v>Pending URL standard</x:v>
      </x:c>
      <x:c r="M151" s="30" t="str">
        <x:v>EQP.submerged_scraper_conveyor</x:v>
      </x:c>
      <x:c r="N151" s="30" t="str">
        <x:v>Required: labelled equipment diagram</x:v>
      </x:c>
      <x:c r="O151" s="30" t="str">
        <x:v>Per frozen page-format standard</x:v>
      </x:c>
      <x:c r="P151" s="30" t="str">
        <x:v>Fundamental textbooks only — assign before drafting</x:v>
      </x:c>
      <x:c r="Q151" s="30" t="str">
        <x:v>Not started</x:v>
      </x:c>
      <x:c r="R151" s="30" t="str">
        <x:v>Not published</x:v>
      </x:c>
      <x:c r="S151" s="31" t="str">
        <x:v>New knowledge/data page; prepare only after editorial workflow is approved.</x:v>
      </x:c>
    </x:row>
    <x:row r="152" ht="42" customHeight="1">
      <x:c r="A152" s="50" t="str">
        <x:v>ICH-EQP-043</x:v>
      </x:c>
      <x:c r="B152" s="30" t="str">
        <x:v>Knowledge/data page</x:v>
      </x:c>
      <x:c r="C152" s="53" t="str">
        <x:v>Industrial Equipment</x:v>
      </x:c>
      <x:c r="D152" s="30" t="str">
        <x:v>Conveying Systems</x:v>
      </x:c>
      <x:c r="E152" s="30" t="str">
        <x:v>Other Conveyors</x:v>
      </x:c>
      <x:c r="F152" s="30" t="str">
        <x:v>Vertical Conveying</x:v>
      </x:c>
      <x:c r="G152" s="30" t="str">
        <x:v>Centrifugal Discharge Bucket Elevator</x:v>
      </x:c>
      <x:c r="H152" s="30" t="str">
        <x:v>Industrial Equipment &gt; Conveying Systems &gt; Other Conveyors &gt; Vertical Conveying &gt; Centrifugal Discharge Bucket Elevator</x:v>
      </x:c>
      <x:c r="I152" s="30" t="str">
        <x:v>—</x:v>
      </x:c>
      <x:c r="J152" s="30" t="str">
        <x:v>Planned — not started</x:v>
      </x:c>
      <x:c r="K152" s="30" t="str">
        <x:v>Industrial equipment page</x:v>
      </x:c>
      <x:c r="L152" s="30" t="str">
        <x:v>Pending URL standard</x:v>
      </x:c>
      <x:c r="M152" s="30" t="str">
        <x:v>EQP.centrifugal_discharge_bucket_elevator</x:v>
      </x:c>
      <x:c r="N152" s="30" t="str">
        <x:v>Required: labelled equipment diagram</x:v>
      </x:c>
      <x:c r="O152" s="30" t="str">
        <x:v>Per frozen page-format standard</x:v>
      </x:c>
      <x:c r="P152" s="30" t="str">
        <x:v>Fundamental textbooks only — assign before drafting</x:v>
      </x:c>
      <x:c r="Q152" s="30" t="str">
        <x:v>Not started</x:v>
      </x:c>
      <x:c r="R152" s="30" t="str">
        <x:v>Not published</x:v>
      </x:c>
      <x:c r="S152" s="31" t="str">
        <x:v>New knowledge/data page; prepare only after editorial workflow is approved.</x:v>
      </x:c>
    </x:row>
    <x:row r="153" ht="42" customHeight="1">
      <x:c r="A153" s="50" t="str">
        <x:v>ICH-EQP-044</x:v>
      </x:c>
      <x:c r="B153" s="30" t="str">
        <x:v>Knowledge/data page</x:v>
      </x:c>
      <x:c r="C153" s="53" t="str">
        <x:v>Industrial Equipment</x:v>
      </x:c>
      <x:c r="D153" s="30" t="str">
        <x:v>Conveying Systems</x:v>
      </x:c>
      <x:c r="E153" s="30" t="str">
        <x:v>Other Conveyors</x:v>
      </x:c>
      <x:c r="F153" s="30" t="str">
        <x:v>Vertical Conveying</x:v>
      </x:c>
      <x:c r="G153" s="30" t="str">
        <x:v>Continuous Bucket Elevator</x:v>
      </x:c>
      <x:c r="H153" s="30" t="str">
        <x:v>Industrial Equipment &gt; Conveying Systems &gt; Other Conveyors &gt; Vertical Conveying &gt; Continuous Bucket Elevator</x:v>
      </x:c>
      <x:c r="I153" s="30" t="str">
        <x:v>—</x:v>
      </x:c>
      <x:c r="J153" s="30" t="str">
        <x:v>Planned — not started</x:v>
      </x:c>
      <x:c r="K153" s="30" t="str">
        <x:v>Industrial equipment page</x:v>
      </x:c>
      <x:c r="L153" s="30" t="str">
        <x:v>Pending URL standard</x:v>
      </x:c>
      <x:c r="M153" s="30" t="str">
        <x:v>EQP.continuous_bucket_elevator</x:v>
      </x:c>
      <x:c r="N153" s="30" t="str">
        <x:v>Required: labelled equipment diagram</x:v>
      </x:c>
      <x:c r="O153" s="30" t="str">
        <x:v>Per frozen page-format standard</x:v>
      </x:c>
      <x:c r="P153" s="30" t="str">
        <x:v>Fundamental textbooks only — assign before drafting</x:v>
      </x:c>
      <x:c r="Q153" s="30" t="str">
        <x:v>Not started</x:v>
      </x:c>
      <x:c r="R153" s="30" t="str">
        <x:v>Not published</x:v>
      </x:c>
      <x:c r="S153" s="31" t="str">
        <x:v>New knowledge/data page; prepare only after editorial workflow is approved.</x:v>
      </x:c>
    </x:row>
    <x:row r="154" ht="42" customHeight="1">
      <x:c r="A154" s="50" t="str">
        <x:v>ICH-EQP-045</x:v>
      </x:c>
      <x:c r="B154" s="30" t="str">
        <x:v>Knowledge/data page</x:v>
      </x:c>
      <x:c r="C154" s="53" t="str">
        <x:v>Industrial Equipment</x:v>
      </x:c>
      <x:c r="D154" s="30" t="str">
        <x:v>Conveying Systems</x:v>
      </x:c>
      <x:c r="E154" s="30" t="str">
        <x:v>Other Conveyors</x:v>
      </x:c>
      <x:c r="F154" s="30" t="str">
        <x:v>Vibratory Conveying</x:v>
      </x:c>
      <x:c r="G154" s="30" t="str">
        <x:v>Vibratory Trough Conveyor</x:v>
      </x:c>
      <x:c r="H154" s="30" t="str">
        <x:v>Industrial Equipment &gt; Conveying Systems &gt; Other Conveyors &gt; Vibratory Conveying &gt; Vibratory Trough Conveyor</x:v>
      </x:c>
      <x:c r="I154" s="30" t="str">
        <x:v>—</x:v>
      </x:c>
      <x:c r="J154" s="30" t="str">
        <x:v>Planned — not started</x:v>
      </x:c>
      <x:c r="K154" s="30" t="str">
        <x:v>Industrial equipment page</x:v>
      </x:c>
      <x:c r="L154" s="30" t="str">
        <x:v>Pending URL standard</x:v>
      </x:c>
      <x:c r="M154" s="30" t="str">
        <x:v>EQP.vibratory_trough_conveyor</x:v>
      </x:c>
      <x:c r="N154" s="30" t="str">
        <x:v>Required: labelled equipment diagram</x:v>
      </x:c>
      <x:c r="O154" s="30" t="str">
        <x:v>Per frozen page-format standard</x:v>
      </x:c>
      <x:c r="P154" s="30" t="str">
        <x:v>Fundamental textbooks only — assign before drafting</x:v>
      </x:c>
      <x:c r="Q154" s="30" t="str">
        <x:v>Not started</x:v>
      </x:c>
      <x:c r="R154" s="30" t="str">
        <x:v>Not published</x:v>
      </x:c>
      <x:c r="S154" s="31" t="str">
        <x:v>New knowledge/data page; prepare only after editorial workflow is approved.</x:v>
      </x:c>
    </x:row>
    <x:row r="155" ht="42" customHeight="1">
      <x:c r="A155" s="50" t="str">
        <x:v>ICH-EQP-046</x:v>
      </x:c>
      <x:c r="B155" s="30" t="str">
        <x:v>Knowledge/data page</x:v>
      </x:c>
      <x:c r="C155" s="53" t="str">
        <x:v>Industrial Equipment</x:v>
      </x:c>
      <x:c r="D155" s="30" t="str">
        <x:v>Conveying Systems</x:v>
      </x:c>
      <x:c r="E155" s="30" t="str">
        <x:v>Other Conveyors</x:v>
      </x:c>
      <x:c r="F155" s="30" t="str">
        <x:v>Unit Load Conveying</x:v>
      </x:c>
      <x:c r="G155" s="30" t="str">
        <x:v>Gravity and Powered Roller Conveyor</x:v>
      </x:c>
      <x:c r="H155" s="30" t="str">
        <x:v>Industrial Equipment &gt; Conveying Systems &gt; Other Conveyors &gt; Unit Load Conveying &gt; Gravity and Powered Roller Conveyor</x:v>
      </x:c>
      <x:c r="I155" s="30" t="str">
        <x:v>—</x:v>
      </x:c>
      <x:c r="J155" s="30" t="str">
        <x:v>Planned — not started</x:v>
      </x:c>
      <x:c r="K155" s="30" t="str">
        <x:v>Industrial equipment page</x:v>
      </x:c>
      <x:c r="L155" s="30" t="str">
        <x:v>Pending URL standard</x:v>
      </x:c>
      <x:c r="M155" s="30" t="str">
        <x:v>EQP.gravity_and_powered_roller_conveyor</x:v>
      </x:c>
      <x:c r="N155" s="30" t="str">
        <x:v>Required: labelled equipment diagram</x:v>
      </x:c>
      <x:c r="O155" s="30" t="str">
        <x:v>Per frozen page-format standard</x:v>
      </x:c>
      <x:c r="P155" s="30" t="str">
        <x:v>Fundamental textbooks only — assign before drafting</x:v>
      </x:c>
      <x:c r="Q155" s="30" t="str">
        <x:v>Not started</x:v>
      </x:c>
      <x:c r="R155" s="30" t="str">
        <x:v>Not published</x:v>
      </x:c>
      <x:c r="S155" s="31" t="str">
        <x:v>New knowledge/data page; prepare only after editorial workflow is approved.</x:v>
      </x:c>
    </x:row>
    <x:row r="156" ht="42" customHeight="1">
      <x:c r="A156" s="50" t="str">
        <x:v>ICH-EQP-047</x:v>
      </x:c>
      <x:c r="B156" s="30" t="str">
        <x:v>Knowledge/data page</x:v>
      </x:c>
      <x:c r="C156" s="53" t="str">
        <x:v>Industrial Equipment</x:v>
      </x:c>
      <x:c r="D156" s="30" t="str">
        <x:v>Conveying Systems</x:v>
      </x:c>
      <x:c r="E156" s="30" t="str">
        <x:v>Other Conveyors</x:v>
      </x:c>
      <x:c r="F156" s="30" t="str">
        <x:v>Unit Load Conveying</x:v>
      </x:c>
      <x:c r="G156" s="30" t="str">
        <x:v>Slat and Pallet Conveyor</x:v>
      </x:c>
      <x:c r="H156" s="30" t="str">
        <x:v>Industrial Equipment &gt; Conveying Systems &gt; Other Conveyors &gt; Unit Load Conveying &gt; Slat and Pallet Conveyor</x:v>
      </x:c>
      <x:c r="I156" s="30" t="str">
        <x:v>—</x:v>
      </x:c>
      <x:c r="J156" s="30" t="str">
        <x:v>Planned — not started</x:v>
      </x:c>
      <x:c r="K156" s="30" t="str">
        <x:v>Industrial equipment page</x:v>
      </x:c>
      <x:c r="L156" s="30" t="str">
        <x:v>Pending URL standard</x:v>
      </x:c>
      <x:c r="M156" s="30" t="str">
        <x:v>EQP.slat_and_pallet_conveyor</x:v>
      </x:c>
      <x:c r="N156" s="30" t="str">
        <x:v>Required: labelled equipment diagram</x:v>
      </x:c>
      <x:c r="O156" s="30" t="str">
        <x:v>Per frozen page-format standard</x:v>
      </x:c>
      <x:c r="P156" s="30" t="str">
        <x:v>Fundamental textbooks only — assign before drafting</x:v>
      </x:c>
      <x:c r="Q156" s="30" t="str">
        <x:v>Not started</x:v>
      </x:c>
      <x:c r="R156" s="30" t="str">
        <x:v>Not published</x:v>
      </x:c>
      <x:c r="S156" s="31" t="str">
        <x:v>New knowledge/data page; prepare only after editorial workflow is approved.</x:v>
      </x:c>
    </x:row>
    <x:row r="157" ht="42" customHeight="1">
      <x:c r="A157" s="50" t="str">
        <x:v>ICH-EQP-048</x:v>
      </x:c>
      <x:c r="B157" s="30" t="str">
        <x:v>Knowledge/data page</x:v>
      </x:c>
      <x:c r="C157" s="53" t="str">
        <x:v>Industrial Equipment</x:v>
      </x:c>
      <x:c r="D157" s="30" t="str">
        <x:v>Feeders, Gates, Valves, Dampers and Airlocks</x:v>
      </x:c>
      <x:c r="E157" s="30" t="str">
        <x:v>Feeders</x:v>
      </x:c>
      <x:c r="F157" s="30" t="str">
        <x:v>Mechanical Feeders</x:v>
      </x:c>
      <x:c r="G157" s="30" t="str">
        <x:v>Belt Feeder</x:v>
      </x:c>
      <x:c r="H157" s="30" t="str">
        <x:v>Industrial Equipment &gt; Feeders, Gates, Valves, Dampers and Airlocks &gt; Feeders &gt; Mechanical Feeders &gt; Belt Feeder</x:v>
      </x:c>
      <x:c r="I157" s="30" t="str">
        <x:v>—</x:v>
      </x:c>
      <x:c r="J157" s="30" t="str">
        <x:v>Planned — not started</x:v>
      </x:c>
      <x:c r="K157" s="30" t="str">
        <x:v>Industrial equipment page</x:v>
      </x:c>
      <x:c r="L157" s="30" t="str">
        <x:v>Pending URL standard</x:v>
      </x:c>
      <x:c r="M157" s="30" t="str">
        <x:v>EQP.belt_feeder</x:v>
      </x:c>
      <x:c r="N157" s="30" t="str">
        <x:v>Required: labelled equipment diagram</x:v>
      </x:c>
      <x:c r="O157" s="30" t="str">
        <x:v>Per frozen page-format standard</x:v>
      </x:c>
      <x:c r="P157" s="30" t="str">
        <x:v>Fundamental textbooks only — assign before drafting</x:v>
      </x:c>
      <x:c r="Q157" s="30" t="str">
        <x:v>Not started</x:v>
      </x:c>
      <x:c r="R157" s="30" t="str">
        <x:v>Not published</x:v>
      </x:c>
      <x:c r="S157" s="31" t="str">
        <x:v>New knowledge/data page; prepare only after editorial workflow is approved.</x:v>
      </x:c>
    </x:row>
    <x:row r="158" ht="42" customHeight="1">
      <x:c r="A158" s="50" t="str">
        <x:v>ICH-EQP-049</x:v>
      </x:c>
      <x:c r="B158" s="30" t="str">
        <x:v>Knowledge/data page</x:v>
      </x:c>
      <x:c r="C158" s="53" t="str">
        <x:v>Industrial Equipment</x:v>
      </x:c>
      <x:c r="D158" s="30" t="str">
        <x:v>Feeders, Gates, Valves, Dampers and Airlocks</x:v>
      </x:c>
      <x:c r="E158" s="30" t="str">
        <x:v>Feeders</x:v>
      </x:c>
      <x:c r="F158" s="30" t="str">
        <x:v>Mechanical Feeders</x:v>
      </x:c>
      <x:c r="G158" s="30" t="str">
        <x:v>Apron Feeder</x:v>
      </x:c>
      <x:c r="H158" s="30" t="str">
        <x:v>Industrial Equipment &gt; Feeders, Gates, Valves, Dampers and Airlocks &gt; Feeders &gt; Mechanical Feeders &gt; Apron Feeder</x:v>
      </x:c>
      <x:c r="I158" s="30" t="str">
        <x:v>—</x:v>
      </x:c>
      <x:c r="J158" s="30" t="str">
        <x:v>Planned — not started</x:v>
      </x:c>
      <x:c r="K158" s="30" t="str">
        <x:v>Industrial equipment page</x:v>
      </x:c>
      <x:c r="L158" s="30" t="str">
        <x:v>Pending URL standard</x:v>
      </x:c>
      <x:c r="M158" s="30" t="str">
        <x:v>EQP.apron_feeder</x:v>
      </x:c>
      <x:c r="N158" s="30" t="str">
        <x:v>Required: labelled equipment diagram</x:v>
      </x:c>
      <x:c r="O158" s="30" t="str">
        <x:v>Per frozen page-format standard</x:v>
      </x:c>
      <x:c r="P158" s="30" t="str">
        <x:v>Fundamental textbooks only — assign before drafting</x:v>
      </x:c>
      <x:c r="Q158" s="30" t="str">
        <x:v>Not started</x:v>
      </x:c>
      <x:c r="R158" s="30" t="str">
        <x:v>Not published</x:v>
      </x:c>
      <x:c r="S158" s="31" t="str">
        <x:v>New knowledge/data page; prepare only after editorial workflow is approved.</x:v>
      </x:c>
    </x:row>
    <x:row r="159" ht="42" customHeight="1">
      <x:c r="A159" s="50" t="str">
        <x:v>ICH-EQP-050</x:v>
      </x:c>
      <x:c r="B159" s="30" t="str">
        <x:v>Knowledge/data page</x:v>
      </x:c>
      <x:c r="C159" s="53" t="str">
        <x:v>Industrial Equipment</x:v>
      </x:c>
      <x:c r="D159" s="30" t="str">
        <x:v>Feeders, Gates, Valves, Dampers and Airlocks</x:v>
      </x:c>
      <x:c r="E159" s="30" t="str">
        <x:v>Feeders</x:v>
      </x:c>
      <x:c r="F159" s="30" t="str">
        <x:v>Mechanical Feeders</x:v>
      </x:c>
      <x:c r="G159" s="30" t="str">
        <x:v>Screw Feeder</x:v>
      </x:c>
      <x:c r="H159" s="30" t="str">
        <x:v>Industrial Equipment &gt; Feeders, Gates, Valves, Dampers and Airlocks &gt; Feeders &gt; Mechanical Feeders &gt; Screw Feeder</x:v>
      </x:c>
      <x:c r="I159" s="30" t="str">
        <x:v>—</x:v>
      </x:c>
      <x:c r="J159" s="30" t="str">
        <x:v>Planned — not started</x:v>
      </x:c>
      <x:c r="K159" s="30" t="str">
        <x:v>Industrial equipment page</x:v>
      </x:c>
      <x:c r="L159" s="30" t="str">
        <x:v>Pending URL standard</x:v>
      </x:c>
      <x:c r="M159" s="30" t="str">
        <x:v>EQP.screw_feeder</x:v>
      </x:c>
      <x:c r="N159" s="30" t="str">
        <x:v>Required: labelled equipment diagram</x:v>
      </x:c>
      <x:c r="O159" s="30" t="str">
        <x:v>Per frozen page-format standard</x:v>
      </x:c>
      <x:c r="P159" s="30" t="str">
        <x:v>Fundamental textbooks only — assign before drafting</x:v>
      </x:c>
      <x:c r="Q159" s="30" t="str">
        <x:v>Not started</x:v>
      </x:c>
      <x:c r="R159" s="30" t="str">
        <x:v>Not published</x:v>
      </x:c>
      <x:c r="S159" s="31" t="str">
        <x:v>New knowledge/data page; prepare only after editorial workflow is approved.</x:v>
      </x:c>
    </x:row>
    <x:row r="160" ht="42" customHeight="1">
      <x:c r="A160" s="50" t="str">
        <x:v>ICH-EQP-051</x:v>
      </x:c>
      <x:c r="B160" s="30" t="str">
        <x:v>Knowledge/data page</x:v>
      </x:c>
      <x:c r="C160" s="53" t="str">
        <x:v>Industrial Equipment</x:v>
      </x:c>
      <x:c r="D160" s="30" t="str">
        <x:v>Feeders, Gates, Valves, Dampers and Airlocks</x:v>
      </x:c>
      <x:c r="E160" s="30" t="str">
        <x:v>Feeders</x:v>
      </x:c>
      <x:c r="F160" s="30" t="str">
        <x:v>Mechanical Feeders</x:v>
      </x:c>
      <x:c r="G160" s="30" t="str">
        <x:v>Rotary Feeder</x:v>
      </x:c>
      <x:c r="H160" s="30" t="str">
        <x:v>Industrial Equipment &gt; Feeders, Gates, Valves, Dampers and Airlocks &gt; Feeders &gt; Mechanical Feeders &gt; Rotary Feeder</x:v>
      </x:c>
      <x:c r="I160" s="30" t="str">
        <x:v>—</x:v>
      </x:c>
      <x:c r="J160" s="30" t="str">
        <x:v>Planned — not started</x:v>
      </x:c>
      <x:c r="K160" s="30" t="str">
        <x:v>Industrial equipment page</x:v>
      </x:c>
      <x:c r="L160" s="30" t="str">
        <x:v>Pending URL standard</x:v>
      </x:c>
      <x:c r="M160" s="30" t="str">
        <x:v>EQP.rotary_feeder</x:v>
      </x:c>
      <x:c r="N160" s="30" t="str">
        <x:v>Required: labelled equipment diagram</x:v>
      </x:c>
      <x:c r="O160" s="30" t="str">
        <x:v>Per frozen page-format standard</x:v>
      </x:c>
      <x:c r="P160" s="30" t="str">
        <x:v>Fundamental textbooks only — assign before drafting</x:v>
      </x:c>
      <x:c r="Q160" s="30" t="str">
        <x:v>Not started</x:v>
      </x:c>
      <x:c r="R160" s="30" t="str">
        <x:v>Not published</x:v>
      </x:c>
      <x:c r="S160" s="31" t="str">
        <x:v>New knowledge/data page; prepare only after editorial workflow is approved.</x:v>
      </x:c>
    </x:row>
    <x:row r="161" ht="42" customHeight="1">
      <x:c r="A161" s="50" t="str">
        <x:v>ICH-EQP-052</x:v>
      </x:c>
      <x:c r="B161" s="30" t="str">
        <x:v>Knowledge/data page</x:v>
      </x:c>
      <x:c r="C161" s="53" t="str">
        <x:v>Industrial Equipment</x:v>
      </x:c>
      <x:c r="D161" s="30" t="str">
        <x:v>Feeders, Gates, Valves, Dampers and Airlocks</x:v>
      </x:c>
      <x:c r="E161" s="30" t="str">
        <x:v>Feeders</x:v>
      </x:c>
      <x:c r="F161" s="30" t="str">
        <x:v>Controlled Feeders</x:v>
      </x:c>
      <x:c r="G161" s="30" t="str">
        <x:v>Vibratory Feeder</x:v>
      </x:c>
      <x:c r="H161" s="30" t="str">
        <x:v>Industrial Equipment &gt; Feeders, Gates, Valves, Dampers and Airlocks &gt; Feeders &gt; Controlled Feeders &gt; Vibratory Feeder</x:v>
      </x:c>
      <x:c r="I161" s="30" t="str">
        <x:v>—</x:v>
      </x:c>
      <x:c r="J161" s="30" t="str">
        <x:v>Planned — not started</x:v>
      </x:c>
      <x:c r="K161" s="30" t="str">
        <x:v>Industrial equipment page</x:v>
      </x:c>
      <x:c r="L161" s="30" t="str">
        <x:v>Pending URL standard</x:v>
      </x:c>
      <x:c r="M161" s="30" t="str">
        <x:v>EQP.vibratory_feeder</x:v>
      </x:c>
      <x:c r="N161" s="30" t="str">
        <x:v>Required: labelled equipment diagram</x:v>
      </x:c>
      <x:c r="O161" s="30" t="str">
        <x:v>Per frozen page-format standard</x:v>
      </x:c>
      <x:c r="P161" s="30" t="str">
        <x:v>Fundamental textbooks only — assign before drafting</x:v>
      </x:c>
      <x:c r="Q161" s="30" t="str">
        <x:v>Not started</x:v>
      </x:c>
      <x:c r="R161" s="30" t="str">
        <x:v>Not published</x:v>
      </x:c>
      <x:c r="S161" s="31" t="str">
        <x:v>New knowledge/data page; prepare only after editorial workflow is approved.</x:v>
      </x:c>
    </x:row>
    <x:row r="162" ht="42" customHeight="1">
      <x:c r="A162" s="50" t="str">
        <x:v>ICH-EQP-053</x:v>
      </x:c>
      <x:c r="B162" s="30" t="str">
        <x:v>Knowledge/data page</x:v>
      </x:c>
      <x:c r="C162" s="53" t="str">
        <x:v>Industrial Equipment</x:v>
      </x:c>
      <x:c r="D162" s="30" t="str">
        <x:v>Feeders, Gates, Valves, Dampers and Airlocks</x:v>
      </x:c>
      <x:c r="E162" s="30" t="str">
        <x:v>Feeders</x:v>
      </x:c>
      <x:c r="F162" s="30" t="str">
        <x:v>Controlled Feeders</x:v>
      </x:c>
      <x:c r="G162" s="30" t="str">
        <x:v>Table Feeder</x:v>
      </x:c>
      <x:c r="H162" s="30" t="str">
        <x:v>Industrial Equipment &gt; Feeders, Gates, Valves, Dampers and Airlocks &gt; Feeders &gt; Controlled Feeders &gt; Table Feeder</x:v>
      </x:c>
      <x:c r="I162" s="30" t="str">
        <x:v>—</x:v>
      </x:c>
      <x:c r="J162" s="30" t="str">
        <x:v>Planned — not started</x:v>
      </x:c>
      <x:c r="K162" s="30" t="str">
        <x:v>Industrial equipment page</x:v>
      </x:c>
      <x:c r="L162" s="30" t="str">
        <x:v>Pending URL standard</x:v>
      </x:c>
      <x:c r="M162" s="30" t="str">
        <x:v>EQP.table_feeder</x:v>
      </x:c>
      <x:c r="N162" s="30" t="str">
        <x:v>Required: labelled equipment diagram</x:v>
      </x:c>
      <x:c r="O162" s="30" t="str">
        <x:v>Per frozen page-format standard</x:v>
      </x:c>
      <x:c r="P162" s="30" t="str">
        <x:v>Fundamental textbooks only — assign before drafting</x:v>
      </x:c>
      <x:c r="Q162" s="30" t="str">
        <x:v>Not started</x:v>
      </x:c>
      <x:c r="R162" s="30" t="str">
        <x:v>Not published</x:v>
      </x:c>
      <x:c r="S162" s="31" t="str">
        <x:v>New knowledge/data page; prepare only after editorial workflow is approved.</x:v>
      </x:c>
    </x:row>
    <x:row r="163" ht="42" customHeight="1">
      <x:c r="A163" s="50" t="str">
        <x:v>ICH-EQP-054</x:v>
      </x:c>
      <x:c r="B163" s="30" t="str">
        <x:v>Knowledge/data page</x:v>
      </x:c>
      <x:c r="C163" s="53" t="str">
        <x:v>Industrial Equipment</x:v>
      </x:c>
      <x:c r="D163" s="30" t="str">
        <x:v>Feeders, Gates, Valves, Dampers and Airlocks</x:v>
      </x:c>
      <x:c r="E163" s="30" t="str">
        <x:v>Feeders</x:v>
      </x:c>
      <x:c r="F163" s="30" t="str">
        <x:v>Controlled Feeders</x:v>
      </x:c>
      <x:c r="G163" s="30" t="str">
        <x:v>Weigh Feeder and Loss-in-Weight Feeder</x:v>
      </x:c>
      <x:c r="H163" s="30" t="str">
        <x:v>Industrial Equipment &gt; Feeders, Gates, Valves, Dampers and Airlocks &gt; Feeders &gt; Controlled Feeders &gt; Weigh Feeder and Loss-in-Weight Feeder</x:v>
      </x:c>
      <x:c r="I163" s="30" t="str">
        <x:v>—</x:v>
      </x:c>
      <x:c r="J163" s="30" t="str">
        <x:v>Planned — not started</x:v>
      </x:c>
      <x:c r="K163" s="30" t="str">
        <x:v>Industrial equipment page</x:v>
      </x:c>
      <x:c r="L163" s="30" t="str">
        <x:v>Pending URL standard</x:v>
      </x:c>
      <x:c r="M163" s="30" t="str">
        <x:v>EQP.weigh_feeder_and_loss_in_weight_feeder</x:v>
      </x:c>
      <x:c r="N163" s="30" t="str">
        <x:v>Required: labelled equipment diagram</x:v>
      </x:c>
      <x:c r="O163" s="30" t="str">
        <x:v>Per frozen page-format standard</x:v>
      </x:c>
      <x:c r="P163" s="30" t="str">
        <x:v>Fundamental textbooks only — assign before drafting</x:v>
      </x:c>
      <x:c r="Q163" s="30" t="str">
        <x:v>Not started</x:v>
      </x:c>
      <x:c r="R163" s="30" t="str">
        <x:v>Not published</x:v>
      </x:c>
      <x:c r="S163" s="31" t="str">
        <x:v>New knowledge/data page; prepare only after editorial workflow is approved.</x:v>
      </x:c>
    </x:row>
    <x:row r="164" ht="42" customHeight="1">
      <x:c r="A164" s="50" t="str">
        <x:v>ICH-EQP-055</x:v>
      </x:c>
      <x:c r="B164" s="30" t="str">
        <x:v>Knowledge/data page</x:v>
      </x:c>
      <x:c r="C164" s="53" t="str">
        <x:v>Industrial Equipment</x:v>
      </x:c>
      <x:c r="D164" s="30" t="str">
        <x:v>Feeders, Gates, Valves, Dampers and Airlocks</x:v>
      </x:c>
      <x:c r="E164" s="30" t="str">
        <x:v>Gates and Diverters</x:v>
      </x:c>
      <x:c r="F164" s="30" t="str">
        <x:v>Isolation Gates</x:v>
      </x:c>
      <x:c r="G164" s="30" t="str">
        <x:v>Slide Gate</x:v>
      </x:c>
      <x:c r="H164" s="30" t="str">
        <x:v>Industrial Equipment &gt; Feeders, Gates, Valves, Dampers and Airlocks &gt; Gates and Diverters &gt; Isolation Gates &gt; Slide Gate</x:v>
      </x:c>
      <x:c r="I164" s="30" t="str">
        <x:v>—</x:v>
      </x:c>
      <x:c r="J164" s="30" t="str">
        <x:v>Planned — not started</x:v>
      </x:c>
      <x:c r="K164" s="30" t="str">
        <x:v>Industrial equipment page</x:v>
      </x:c>
      <x:c r="L164" s="30" t="str">
        <x:v>Pending URL standard</x:v>
      </x:c>
      <x:c r="M164" s="30" t="str">
        <x:v>EQP.slide_gate</x:v>
      </x:c>
      <x:c r="N164" s="30" t="str">
        <x:v>Required: labelled equipment diagram</x:v>
      </x:c>
      <x:c r="O164" s="30" t="str">
        <x:v>Per frozen page-format standard</x:v>
      </x:c>
      <x:c r="P164" s="30" t="str">
        <x:v>Fundamental textbooks only — assign before drafting</x:v>
      </x:c>
      <x:c r="Q164" s="30" t="str">
        <x:v>Not started</x:v>
      </x:c>
      <x:c r="R164" s="30" t="str">
        <x:v>Not published</x:v>
      </x:c>
      <x:c r="S164" s="31" t="str">
        <x:v>New knowledge/data page; prepare only after editorial workflow is approved.</x:v>
      </x:c>
    </x:row>
    <x:row r="165" ht="42" customHeight="1">
      <x:c r="A165" s="50" t="str">
        <x:v>ICH-EQP-056</x:v>
      </x:c>
      <x:c r="B165" s="30" t="str">
        <x:v>Knowledge/data page</x:v>
      </x:c>
      <x:c r="C165" s="53" t="str">
        <x:v>Industrial Equipment</x:v>
      </x:c>
      <x:c r="D165" s="30" t="str">
        <x:v>Feeders, Gates, Valves, Dampers and Airlocks</x:v>
      </x:c>
      <x:c r="E165" s="30" t="str">
        <x:v>Gates and Diverters</x:v>
      </x:c>
      <x:c r="F165" s="30" t="str">
        <x:v>Isolation Gates</x:v>
      </x:c>
      <x:c r="G165" s="30" t="str">
        <x:v>Knife Gate Valve</x:v>
      </x:c>
      <x:c r="H165" s="30" t="str">
        <x:v>Industrial Equipment &gt; Feeders, Gates, Valves, Dampers and Airlocks &gt; Gates and Diverters &gt; Isolation Gates &gt; Knife Gate Valve</x:v>
      </x:c>
      <x:c r="I165" s="30" t="str">
        <x:v>—</x:v>
      </x:c>
      <x:c r="J165" s="30" t="str">
        <x:v>Planned — not started</x:v>
      </x:c>
      <x:c r="K165" s="30" t="str">
        <x:v>Industrial equipment page</x:v>
      </x:c>
      <x:c r="L165" s="30" t="str">
        <x:v>Pending URL standard</x:v>
      </x:c>
      <x:c r="M165" s="30" t="str">
        <x:v>EQP.knife_gate_valve</x:v>
      </x:c>
      <x:c r="N165" s="30" t="str">
        <x:v>Required: labelled equipment diagram</x:v>
      </x:c>
      <x:c r="O165" s="30" t="str">
        <x:v>Per frozen page-format standard</x:v>
      </x:c>
      <x:c r="P165" s="30" t="str">
        <x:v>Fundamental textbooks only — assign before drafting</x:v>
      </x:c>
      <x:c r="Q165" s="30" t="str">
        <x:v>Not started</x:v>
      </x:c>
      <x:c r="R165" s="30" t="str">
        <x:v>Not published</x:v>
      </x:c>
      <x:c r="S165" s="31" t="str">
        <x:v>New knowledge/data page; prepare only after editorial workflow is approved.</x:v>
      </x:c>
    </x:row>
    <x:row r="166" ht="42" customHeight="1">
      <x:c r="A166" s="50" t="str">
        <x:v>ICH-EQP-057</x:v>
      </x:c>
      <x:c r="B166" s="30" t="str">
        <x:v>Knowledge/data page</x:v>
      </x:c>
      <x:c r="C166" s="53" t="str">
        <x:v>Industrial Equipment</x:v>
      </x:c>
      <x:c r="D166" s="30" t="str">
        <x:v>Feeders, Gates, Valves, Dampers and Airlocks</x:v>
      </x:c>
      <x:c r="E166" s="30" t="str">
        <x:v>Gates and Diverters</x:v>
      </x:c>
      <x:c r="F166" s="30" t="str">
        <x:v>Isolation Gates</x:v>
      </x:c>
      <x:c r="G166" s="30" t="str">
        <x:v>Rod Gate</x:v>
      </x:c>
      <x:c r="H166" s="30" t="str">
        <x:v>Industrial Equipment &gt; Feeders, Gates, Valves, Dampers and Airlocks &gt; Gates and Diverters &gt; Isolation Gates &gt; Rod Gate</x:v>
      </x:c>
      <x:c r="I166" s="30" t="str">
        <x:v>—</x:v>
      </x:c>
      <x:c r="J166" s="30" t="str">
        <x:v>Planned — not started</x:v>
      </x:c>
      <x:c r="K166" s="30" t="str">
        <x:v>Industrial equipment page</x:v>
      </x:c>
      <x:c r="L166" s="30" t="str">
        <x:v>Pending URL standard</x:v>
      </x:c>
      <x:c r="M166" s="30" t="str">
        <x:v>EQP.rod_gate</x:v>
      </x:c>
      <x:c r="N166" s="30" t="str">
        <x:v>Required: labelled equipment diagram</x:v>
      </x:c>
      <x:c r="O166" s="30" t="str">
        <x:v>Per frozen page-format standard</x:v>
      </x:c>
      <x:c r="P166" s="30" t="str">
        <x:v>Fundamental textbooks only — assign before drafting</x:v>
      </x:c>
      <x:c r="Q166" s="30" t="str">
        <x:v>Not started</x:v>
      </x:c>
      <x:c r="R166" s="30" t="str">
        <x:v>Not published</x:v>
      </x:c>
      <x:c r="S166" s="31" t="str">
        <x:v>New knowledge/data page; prepare only after editorial workflow is approved.</x:v>
      </x:c>
    </x:row>
    <x:row r="167" ht="42" customHeight="1">
      <x:c r="A167" s="50" t="str">
        <x:v>ICH-EQP-058</x:v>
      </x:c>
      <x:c r="B167" s="30" t="str">
        <x:v>Knowledge/data page</x:v>
      </x:c>
      <x:c r="C167" s="53" t="str">
        <x:v>Industrial Equipment</x:v>
      </x:c>
      <x:c r="D167" s="30" t="str">
        <x:v>Feeders, Gates, Valves, Dampers and Airlocks</x:v>
      </x:c>
      <x:c r="E167" s="30" t="str">
        <x:v>Gates and Diverters</x:v>
      </x:c>
      <x:c r="F167" s="30" t="str">
        <x:v>Isolation Gates</x:v>
      </x:c>
      <x:c r="G167" s="30" t="str">
        <x:v>Guillotine Gate</x:v>
      </x:c>
      <x:c r="H167" s="30" t="str">
        <x:v>Industrial Equipment &gt; Feeders, Gates, Valves, Dampers and Airlocks &gt; Gates and Diverters &gt; Isolation Gates &gt; Guillotine Gate</x:v>
      </x:c>
      <x:c r="I167" s="30" t="str">
        <x:v>—</x:v>
      </x:c>
      <x:c r="J167" s="30" t="str">
        <x:v>Planned — not started</x:v>
      </x:c>
      <x:c r="K167" s="30" t="str">
        <x:v>Industrial equipment page</x:v>
      </x:c>
      <x:c r="L167" s="30" t="str">
        <x:v>Pending URL standard</x:v>
      </x:c>
      <x:c r="M167" s="30" t="str">
        <x:v>EQP.guillotine_gate</x:v>
      </x:c>
      <x:c r="N167" s="30" t="str">
        <x:v>Required: labelled equipment diagram</x:v>
      </x:c>
      <x:c r="O167" s="30" t="str">
        <x:v>Per frozen page-format standard</x:v>
      </x:c>
      <x:c r="P167" s="30" t="str">
        <x:v>Fundamental textbooks only — assign before drafting</x:v>
      </x:c>
      <x:c r="Q167" s="30" t="str">
        <x:v>Not started</x:v>
      </x:c>
      <x:c r="R167" s="30" t="str">
        <x:v>Not published</x:v>
      </x:c>
      <x:c r="S167" s="31" t="str">
        <x:v>New knowledge/data page; prepare only after editorial workflow is approved.</x:v>
      </x:c>
    </x:row>
    <x:row r="168" ht="42" customHeight="1">
      <x:c r="A168" s="50" t="str">
        <x:v>ICH-EQP-059</x:v>
      </x:c>
      <x:c r="B168" s="30" t="str">
        <x:v>Knowledge/data page</x:v>
      </x:c>
      <x:c r="C168" s="53" t="str">
        <x:v>Industrial Equipment</x:v>
      </x:c>
      <x:c r="D168" s="30" t="str">
        <x:v>Feeders, Gates, Valves, Dampers and Airlocks</x:v>
      </x:c>
      <x:c r="E168" s="30" t="str">
        <x:v>Gates and Diverters</x:v>
      </x:c>
      <x:c r="F168" s="30" t="str">
        <x:v>Diversion Gates</x:v>
      </x:c>
      <x:c r="G168" s="30" t="str">
        <x:v>Two-Way Diverter Gate</x:v>
      </x:c>
      <x:c r="H168" s="30" t="str">
        <x:v>Industrial Equipment &gt; Feeders, Gates, Valves, Dampers and Airlocks &gt; Gates and Diverters &gt; Diversion Gates &gt; Two-Way Diverter Gate</x:v>
      </x:c>
      <x:c r="I168" s="30" t="str">
        <x:v>—</x:v>
      </x:c>
      <x:c r="J168" s="30" t="str">
        <x:v>Planned — not started</x:v>
      </x:c>
      <x:c r="K168" s="30" t="str">
        <x:v>Industrial equipment page</x:v>
      </x:c>
      <x:c r="L168" s="30" t="str">
        <x:v>Pending URL standard</x:v>
      </x:c>
      <x:c r="M168" s="30" t="str">
        <x:v>EQP.two_way_diverter_gate</x:v>
      </x:c>
      <x:c r="N168" s="30" t="str">
        <x:v>Required: labelled equipment diagram</x:v>
      </x:c>
      <x:c r="O168" s="30" t="str">
        <x:v>Per frozen page-format standard</x:v>
      </x:c>
      <x:c r="P168" s="30" t="str">
        <x:v>Fundamental textbooks only — assign before drafting</x:v>
      </x:c>
      <x:c r="Q168" s="30" t="str">
        <x:v>Not started</x:v>
      </x:c>
      <x:c r="R168" s="30" t="str">
        <x:v>Not published</x:v>
      </x:c>
      <x:c r="S168" s="31" t="str">
        <x:v>New knowledge/data page; prepare only after editorial workflow is approved.</x:v>
      </x:c>
    </x:row>
    <x:row r="169" ht="42" customHeight="1">
      <x:c r="A169" s="50" t="str">
        <x:v>ICH-EQP-060</x:v>
      </x:c>
      <x:c r="B169" s="30" t="str">
        <x:v>Knowledge/data page</x:v>
      </x:c>
      <x:c r="C169" s="53" t="str">
        <x:v>Industrial Equipment</x:v>
      </x:c>
      <x:c r="D169" s="30" t="str">
        <x:v>Feeders, Gates, Valves, Dampers and Airlocks</x:v>
      </x:c>
      <x:c r="E169" s="30" t="str">
        <x:v>Gates and Diverters</x:v>
      </x:c>
      <x:c r="F169" s="30" t="str">
        <x:v>Diversion Gates</x:v>
      </x:c>
      <x:c r="G169" s="30" t="str">
        <x:v>Three-Way Diverter Gate</x:v>
      </x:c>
      <x:c r="H169" s="30" t="str">
        <x:v>Industrial Equipment &gt; Feeders, Gates, Valves, Dampers and Airlocks &gt; Gates and Diverters &gt; Diversion Gates &gt; Three-Way Diverter Gate</x:v>
      </x:c>
      <x:c r="I169" s="30" t="str">
        <x:v>—</x:v>
      </x:c>
      <x:c r="J169" s="30" t="str">
        <x:v>Planned — not started</x:v>
      </x:c>
      <x:c r="K169" s="30" t="str">
        <x:v>Industrial equipment page</x:v>
      </x:c>
      <x:c r="L169" s="30" t="str">
        <x:v>Pending URL standard</x:v>
      </x:c>
      <x:c r="M169" s="30" t="str">
        <x:v>EQP.three_way_diverter_gate</x:v>
      </x:c>
      <x:c r="N169" s="30" t="str">
        <x:v>Required: labelled equipment diagram</x:v>
      </x:c>
      <x:c r="O169" s="30" t="str">
        <x:v>Per frozen page-format standard</x:v>
      </x:c>
      <x:c r="P169" s="30" t="str">
        <x:v>Fundamental textbooks only — assign before drafting</x:v>
      </x:c>
      <x:c r="Q169" s="30" t="str">
        <x:v>Not started</x:v>
      </x:c>
      <x:c r="R169" s="30" t="str">
        <x:v>Not published</x:v>
      </x:c>
      <x:c r="S169" s="31" t="str">
        <x:v>New knowledge/data page; prepare only after editorial workflow is approved.</x:v>
      </x:c>
    </x:row>
    <x:row r="170" ht="42" customHeight="1">
      <x:c r="A170" s="50" t="str">
        <x:v>ICH-EQP-061</x:v>
      </x:c>
      <x:c r="B170" s="30" t="str">
        <x:v>Knowledge/data page</x:v>
      </x:c>
      <x:c r="C170" s="53" t="str">
        <x:v>Industrial Equipment</x:v>
      </x:c>
      <x:c r="D170" s="30" t="str">
        <x:v>Feeders, Gates, Valves, Dampers and Airlocks</x:v>
      </x:c>
      <x:c r="E170" s="30" t="str">
        <x:v>Airlocks and Discharge Valves</x:v>
      </x:c>
      <x:c r="F170" s="30" t="str">
        <x:v>Rotary Equipment</x:v>
      </x:c>
      <x:c r="G170" s="30" t="str">
        <x:v>Rotary Air Valve and Rotary Airlock Valve (RAV)</x:v>
      </x:c>
      <x:c r="H170" s="30" t="str">
        <x:v>Industrial Equipment &gt; Feeders, Gates, Valves, Dampers and Airlocks &gt; Airlocks and Discharge Valves &gt; Rotary Equipment &gt; Rotary Air Valve and Rotary Airlock Valve (RAV)</x:v>
      </x:c>
      <x:c r="I170" s="30" t="str">
        <x:v>—</x:v>
      </x:c>
      <x:c r="J170" s="30" t="str">
        <x:v>Planned — not started</x:v>
      </x:c>
      <x:c r="K170" s="30" t="str">
        <x:v>Industrial equipment page</x:v>
      </x:c>
      <x:c r="L170" s="30" t="str">
        <x:v>Pending URL standard</x:v>
      </x:c>
      <x:c r="M170" s="30" t="str">
        <x:v>EQP.rotary_air_valve_and_rotary_airlock_valve_rav</x:v>
      </x:c>
      <x:c r="N170" s="30" t="str">
        <x:v>Required: labelled equipment diagram</x:v>
      </x:c>
      <x:c r="O170" s="30" t="str">
        <x:v>Per frozen page-format standard</x:v>
      </x:c>
      <x:c r="P170" s="30" t="str">
        <x:v>Fundamental textbooks only — assign before drafting</x:v>
      </x:c>
      <x:c r="Q170" s="30" t="str">
        <x:v>Not started</x:v>
      </x:c>
      <x:c r="R170" s="30" t="str">
        <x:v>Not published</x:v>
      </x:c>
      <x:c r="S170" s="31" t="str">
        <x:v>New knowledge/data page; prepare only after editorial workflow is approved.</x:v>
      </x:c>
    </x:row>
    <x:row r="171" ht="42" customHeight="1">
      <x:c r="A171" s="50" t="str">
        <x:v>ICH-EQP-062</x:v>
      </x:c>
      <x:c r="B171" s="30" t="str">
        <x:v>Knowledge/data page</x:v>
      </x:c>
      <x:c r="C171" s="53" t="str">
        <x:v>Industrial Equipment</x:v>
      </x:c>
      <x:c r="D171" s="30" t="str">
        <x:v>Feeders, Gates, Valves, Dampers and Airlocks</x:v>
      </x:c>
      <x:c r="E171" s="30" t="str">
        <x:v>Airlocks and Discharge Valves</x:v>
      </x:c>
      <x:c r="F171" s="30" t="str">
        <x:v>Flap Equipment</x:v>
      </x:c>
      <x:c r="G171" s="30" t="str">
        <x:v>Double Flap Valve and Double Dump Valve</x:v>
      </x:c>
      <x:c r="H171" s="30" t="str">
        <x:v>Industrial Equipment &gt; Feeders, Gates, Valves, Dampers and Airlocks &gt; Airlocks and Discharge Valves &gt; Flap Equipment &gt; Double Flap Valve and Double Dump Valve</x:v>
      </x:c>
      <x:c r="I171" s="30" t="str">
        <x:v>—</x:v>
      </x:c>
      <x:c r="J171" s="30" t="str">
        <x:v>Planned — not started</x:v>
      </x:c>
      <x:c r="K171" s="30" t="str">
        <x:v>Industrial equipment page</x:v>
      </x:c>
      <x:c r="L171" s="30" t="str">
        <x:v>Pending URL standard</x:v>
      </x:c>
      <x:c r="M171" s="30" t="str">
        <x:v>EQP.double_flap_valve_and_double_dump_valve</x:v>
      </x:c>
      <x:c r="N171" s="30" t="str">
        <x:v>Required: labelled equipment diagram</x:v>
      </x:c>
      <x:c r="O171" s="30" t="str">
        <x:v>Per frozen page-format standard</x:v>
      </x:c>
      <x:c r="P171" s="30" t="str">
        <x:v>Fundamental textbooks only — assign before drafting</x:v>
      </x:c>
      <x:c r="Q171" s="30" t="str">
        <x:v>Not started</x:v>
      </x:c>
      <x:c r="R171" s="30" t="str">
        <x:v>Not published</x:v>
      </x:c>
      <x:c r="S171" s="31" t="str">
        <x:v>New knowledge/data page; prepare only after editorial workflow is approved.</x:v>
      </x:c>
    </x:row>
    <x:row r="172" ht="42" customHeight="1">
      <x:c r="A172" s="50" t="str">
        <x:v>ICH-EQP-063</x:v>
      </x:c>
      <x:c r="B172" s="30" t="str">
        <x:v>Knowledge/data page</x:v>
      </x:c>
      <x:c r="C172" s="53" t="str">
        <x:v>Industrial Equipment</x:v>
      </x:c>
      <x:c r="D172" s="30" t="str">
        <x:v>Feeders, Gates, Valves, Dampers and Airlocks</x:v>
      </x:c>
      <x:c r="E172" s="30" t="str">
        <x:v>Airlocks and Discharge Valves</x:v>
      </x:c>
      <x:c r="F172" s="30" t="str">
        <x:v>Flap Equipment</x:v>
      </x:c>
      <x:c r="G172" s="30" t="str">
        <x:v>Tipping Valve and Flap Valve</x:v>
      </x:c>
      <x:c r="H172" s="30" t="str">
        <x:v>Industrial Equipment &gt; Feeders, Gates, Valves, Dampers and Airlocks &gt; Airlocks and Discharge Valves &gt; Flap Equipment &gt; Tipping Valve and Flap Valve</x:v>
      </x:c>
      <x:c r="I172" s="30" t="str">
        <x:v>—</x:v>
      </x:c>
      <x:c r="J172" s="30" t="str">
        <x:v>Planned — not started</x:v>
      </x:c>
      <x:c r="K172" s="30" t="str">
        <x:v>Industrial equipment page</x:v>
      </x:c>
      <x:c r="L172" s="30" t="str">
        <x:v>Pending URL standard</x:v>
      </x:c>
      <x:c r="M172" s="30" t="str">
        <x:v>EQP.tipping_valve_and_flap_valve</x:v>
      </x:c>
      <x:c r="N172" s="30" t="str">
        <x:v>Required: labelled equipment diagram</x:v>
      </x:c>
      <x:c r="O172" s="30" t="str">
        <x:v>Per frozen page-format standard</x:v>
      </x:c>
      <x:c r="P172" s="30" t="str">
        <x:v>Fundamental textbooks only — assign before drafting</x:v>
      </x:c>
      <x:c r="Q172" s="30" t="str">
        <x:v>Not started</x:v>
      </x:c>
      <x:c r="R172" s="30" t="str">
        <x:v>Not published</x:v>
      </x:c>
      <x:c r="S172" s="31" t="str">
        <x:v>New knowledge/data page; prepare only after editorial workflow is approved.</x:v>
      </x:c>
    </x:row>
    <x:row r="173" ht="42" customHeight="1">
      <x:c r="A173" s="50" t="str">
        <x:v>ICH-EQP-064</x:v>
      </x:c>
      <x:c r="B173" s="30" t="str">
        <x:v>Knowledge/data page</x:v>
      </x:c>
      <x:c r="C173" s="53" t="str">
        <x:v>Industrial Equipment</x:v>
      </x:c>
      <x:c r="D173" s="30" t="str">
        <x:v>Feeders, Gates, Valves, Dampers and Airlocks</x:v>
      </x:c>
      <x:c r="E173" s="30" t="str">
        <x:v>Dampers</x:v>
      </x:c>
      <x:c r="F173" s="30" t="str">
        <x:v>Control Dampers</x:v>
      </x:c>
      <x:c r="G173" s="30" t="str">
        <x:v>Butterfly Damper</x:v>
      </x:c>
      <x:c r="H173" s="30" t="str">
        <x:v>Industrial Equipment &gt; Feeders, Gates, Valves, Dampers and Airlocks &gt; Dampers &gt; Control Dampers &gt; Butterfly Damper</x:v>
      </x:c>
      <x:c r="I173" s="30" t="str">
        <x:v>—</x:v>
      </x:c>
      <x:c r="J173" s="30" t="str">
        <x:v>Planned — not started</x:v>
      </x:c>
      <x:c r="K173" s="30" t="str">
        <x:v>Industrial equipment page</x:v>
      </x:c>
      <x:c r="L173" s="30" t="str">
        <x:v>Pending URL standard</x:v>
      </x:c>
      <x:c r="M173" s="30" t="str">
        <x:v>EQP.butterfly_damper</x:v>
      </x:c>
      <x:c r="N173" s="30" t="str">
        <x:v>Required: labelled equipment diagram</x:v>
      </x:c>
      <x:c r="O173" s="30" t="str">
        <x:v>Per frozen page-format standard</x:v>
      </x:c>
      <x:c r="P173" s="30" t="str">
        <x:v>Fundamental textbooks only — assign before drafting</x:v>
      </x:c>
      <x:c r="Q173" s="30" t="str">
        <x:v>Not started</x:v>
      </x:c>
      <x:c r="R173" s="30" t="str">
        <x:v>Not published</x:v>
      </x:c>
      <x:c r="S173" s="31" t="str">
        <x:v>New knowledge/data page; prepare only after editorial workflow is approved.</x:v>
      </x:c>
    </x:row>
    <x:row r="174" ht="42" customHeight="1">
      <x:c r="A174" s="50" t="str">
        <x:v>ICH-EQP-065</x:v>
      </x:c>
      <x:c r="B174" s="30" t="str">
        <x:v>Knowledge/data page</x:v>
      </x:c>
      <x:c r="C174" s="53" t="str">
        <x:v>Industrial Equipment</x:v>
      </x:c>
      <x:c r="D174" s="30" t="str">
        <x:v>Feeders, Gates, Valves, Dampers and Airlocks</x:v>
      </x:c>
      <x:c r="E174" s="30" t="str">
        <x:v>Dampers</x:v>
      </x:c>
      <x:c r="F174" s="30" t="str">
        <x:v>Control Dampers</x:v>
      </x:c>
      <x:c r="G174" s="30" t="str">
        <x:v>Louver Damper</x:v>
      </x:c>
      <x:c r="H174" s="30" t="str">
        <x:v>Industrial Equipment &gt; Feeders, Gates, Valves, Dampers and Airlocks &gt; Dampers &gt; Control Dampers &gt; Louver Damper</x:v>
      </x:c>
      <x:c r="I174" s="30" t="str">
        <x:v>—</x:v>
      </x:c>
      <x:c r="J174" s="30" t="str">
        <x:v>Planned — not started</x:v>
      </x:c>
      <x:c r="K174" s="30" t="str">
        <x:v>Industrial equipment page</x:v>
      </x:c>
      <x:c r="L174" s="30" t="str">
        <x:v>Pending URL standard</x:v>
      </x:c>
      <x:c r="M174" s="30" t="str">
        <x:v>EQP.louver_damper</x:v>
      </x:c>
      <x:c r="N174" s="30" t="str">
        <x:v>Required: labelled equipment diagram</x:v>
      </x:c>
      <x:c r="O174" s="30" t="str">
        <x:v>Per frozen page-format standard</x:v>
      </x:c>
      <x:c r="P174" s="30" t="str">
        <x:v>Fundamental textbooks only — assign before drafting</x:v>
      </x:c>
      <x:c r="Q174" s="30" t="str">
        <x:v>Not started</x:v>
      </x:c>
      <x:c r="R174" s="30" t="str">
        <x:v>Not published</x:v>
      </x:c>
      <x:c r="S174" s="31" t="str">
        <x:v>New knowledge/data page; prepare only after editorial workflow is approved.</x:v>
      </x:c>
    </x:row>
    <x:row r="175" ht="42" customHeight="1">
      <x:c r="A175" s="50" t="str">
        <x:v>ICH-EQP-066</x:v>
      </x:c>
      <x:c r="B175" s="30" t="str">
        <x:v>Knowledge/data page</x:v>
      </x:c>
      <x:c r="C175" s="53" t="str">
        <x:v>Industrial Equipment</x:v>
      </x:c>
      <x:c r="D175" s="30" t="str">
        <x:v>Feeders, Gates, Valves, Dampers and Airlocks</x:v>
      </x:c>
      <x:c r="E175" s="30" t="str">
        <x:v>Dampers</x:v>
      </x:c>
      <x:c r="F175" s="30" t="str">
        <x:v>Isolation Dampers</x:v>
      </x:c>
      <x:c r="G175" s="30" t="str">
        <x:v>Guillotine Damper</x:v>
      </x:c>
      <x:c r="H175" s="30" t="str">
        <x:v>Industrial Equipment &gt; Feeders, Gates, Valves, Dampers and Airlocks &gt; Dampers &gt; Isolation Dampers &gt; Guillotine Damper</x:v>
      </x:c>
      <x:c r="I175" s="30" t="str">
        <x:v>—</x:v>
      </x:c>
      <x:c r="J175" s="30" t="str">
        <x:v>Planned — not started</x:v>
      </x:c>
      <x:c r="K175" s="30" t="str">
        <x:v>Industrial equipment page</x:v>
      </x:c>
      <x:c r="L175" s="30" t="str">
        <x:v>Pending URL standard</x:v>
      </x:c>
      <x:c r="M175" s="30" t="str">
        <x:v>EQP.guillotine_damper</x:v>
      </x:c>
      <x:c r="N175" s="30" t="str">
        <x:v>Required: labelled equipment diagram</x:v>
      </x:c>
      <x:c r="O175" s="30" t="str">
        <x:v>Per frozen page-format standard</x:v>
      </x:c>
      <x:c r="P175" s="30" t="str">
        <x:v>Fundamental textbooks only — assign before drafting</x:v>
      </x:c>
      <x:c r="Q175" s="30" t="str">
        <x:v>Not started</x:v>
      </x:c>
      <x:c r="R175" s="30" t="str">
        <x:v>Not published</x:v>
      </x:c>
      <x:c r="S175" s="31" t="str">
        <x:v>New knowledge/data page; prepare only after editorial workflow is approved.</x:v>
      </x:c>
    </x:row>
    <x:row r="176" ht="42" customHeight="1">
      <x:c r="A176" s="50" t="str">
        <x:v>ICH-EQP-067</x:v>
      </x:c>
      <x:c r="B176" s="30" t="str">
        <x:v>Knowledge/data page</x:v>
      </x:c>
      <x:c r="C176" s="53" t="str">
        <x:v>Industrial Equipment</x:v>
      </x:c>
      <x:c r="D176" s="30" t="str">
        <x:v>Feeders, Gates, Valves, Dampers and Airlocks</x:v>
      </x:c>
      <x:c r="E176" s="30" t="str">
        <x:v>Dampers</x:v>
      </x:c>
      <x:c r="F176" s="30" t="str">
        <x:v>Isolation Dampers</x:v>
      </x:c>
      <x:c r="G176" s="30" t="str">
        <x:v>Multi-Louver Isolation Damper</x:v>
      </x:c>
      <x:c r="H176" s="30" t="str">
        <x:v>Industrial Equipment &gt; Feeders, Gates, Valves, Dampers and Airlocks &gt; Dampers &gt; Isolation Dampers &gt; Multi-Louver Isolation Damper</x:v>
      </x:c>
      <x:c r="I176" s="30" t="str">
        <x:v>—</x:v>
      </x:c>
      <x:c r="J176" s="30" t="str">
        <x:v>Planned — not started</x:v>
      </x:c>
      <x:c r="K176" s="30" t="str">
        <x:v>Industrial equipment page</x:v>
      </x:c>
      <x:c r="L176" s="30" t="str">
        <x:v>Pending URL standard</x:v>
      </x:c>
      <x:c r="M176" s="30" t="str">
        <x:v>EQP.multi_louver_isolation_damper</x:v>
      </x:c>
      <x:c r="N176" s="30" t="str">
        <x:v>Required: labelled equipment diagram</x:v>
      </x:c>
      <x:c r="O176" s="30" t="str">
        <x:v>Per frozen page-format standard</x:v>
      </x:c>
      <x:c r="P176" s="30" t="str">
        <x:v>Fundamental textbooks only — assign before drafting</x:v>
      </x:c>
      <x:c r="Q176" s="30" t="str">
        <x:v>Not started</x:v>
      </x:c>
      <x:c r="R176" s="30" t="str">
        <x:v>Not published</x:v>
      </x:c>
      <x:c r="S176" s="31" t="str">
        <x:v>New knowledge/data page; prepare only after editorial workflow is approved.</x:v>
      </x:c>
    </x:row>
    <x:row r="177" ht="42" customHeight="1">
      <x:c r="A177" s="50" t="str">
        <x:v>ICH-EQP-068</x:v>
      </x:c>
      <x:c r="B177" s="30" t="str">
        <x:v>Knowledge/data page</x:v>
      </x:c>
      <x:c r="C177" s="53" t="str">
        <x:v>Industrial Equipment</x:v>
      </x:c>
      <x:c r="D177" s="30" t="str">
        <x:v>Feeders, Gates, Valves, Dampers and Airlocks</x:v>
      </x:c>
      <x:c r="E177" s="30" t="str">
        <x:v>Flow Aids</x:v>
      </x:c>
      <x:c r="F177" s="30" t="str">
        <x:v>Pneumatic Flow Aids</x:v>
      </x:c>
      <x:c r="G177" s="30" t="str">
        <x:v>Air Cannon and Air Blaster</x:v>
      </x:c>
      <x:c r="H177" s="30" t="str">
        <x:v>Industrial Equipment &gt; Feeders, Gates, Valves, Dampers and Airlocks &gt; Flow Aids &gt; Pneumatic Flow Aids &gt; Air Cannon and Air Blaster</x:v>
      </x:c>
      <x:c r="I177" s="30" t="str">
        <x:v>—</x:v>
      </x:c>
      <x:c r="J177" s="30" t="str">
        <x:v>Planned — not started</x:v>
      </x:c>
      <x:c r="K177" s="30" t="str">
        <x:v>Industrial equipment page</x:v>
      </x:c>
      <x:c r="L177" s="30" t="str">
        <x:v>Pending URL standard</x:v>
      </x:c>
      <x:c r="M177" s="30" t="str">
        <x:v>EQP.air_cannon_and_air_blaster</x:v>
      </x:c>
      <x:c r="N177" s="30" t="str">
        <x:v>Required: labelled equipment diagram</x:v>
      </x:c>
      <x:c r="O177" s="30" t="str">
        <x:v>Per frozen page-format standard</x:v>
      </x:c>
      <x:c r="P177" s="30" t="str">
        <x:v>Fundamental textbooks only — assign before drafting</x:v>
      </x:c>
      <x:c r="Q177" s="30" t="str">
        <x:v>Not started</x:v>
      </x:c>
      <x:c r="R177" s="30" t="str">
        <x:v>Not published</x:v>
      </x:c>
      <x:c r="S177" s="31" t="str">
        <x:v>New knowledge/data page; prepare only after editorial workflow is approved.</x:v>
      </x:c>
    </x:row>
    <x:row r="178" ht="42" customHeight="1">
      <x:c r="A178" s="50" t="str">
        <x:v>ICH-EQP-069</x:v>
      </x:c>
      <x:c r="B178" s="30" t="str">
        <x:v>Knowledge/data page</x:v>
      </x:c>
      <x:c r="C178" s="53" t="str">
        <x:v>Industrial Equipment</x:v>
      </x:c>
      <x:c r="D178" s="30" t="str">
        <x:v>Feeders, Gates, Valves, Dampers and Airlocks</x:v>
      </x:c>
      <x:c r="E178" s="30" t="str">
        <x:v>Flow Aids</x:v>
      </x:c>
      <x:c r="F178" s="30" t="str">
        <x:v>Pneumatic Flow Aids</x:v>
      </x:c>
      <x:c r="G178" s="30" t="str">
        <x:v>Air Pad and Hopper Aeration System</x:v>
      </x:c>
      <x:c r="H178" s="30" t="str">
        <x:v>Industrial Equipment &gt; Feeders, Gates, Valves, Dampers and Airlocks &gt; Flow Aids &gt; Pneumatic Flow Aids &gt; Air Pad and Hopper Aeration System</x:v>
      </x:c>
      <x:c r="I178" s="30" t="str">
        <x:v>—</x:v>
      </x:c>
      <x:c r="J178" s="30" t="str">
        <x:v>Planned — not started</x:v>
      </x:c>
      <x:c r="K178" s="30" t="str">
        <x:v>Industrial equipment page</x:v>
      </x:c>
      <x:c r="L178" s="30" t="str">
        <x:v>Pending URL standard</x:v>
      </x:c>
      <x:c r="M178" s="30" t="str">
        <x:v>EQP.air_pad_and_hopper_aeration_system</x:v>
      </x:c>
      <x:c r="N178" s="30" t="str">
        <x:v>Required: labelled equipment diagram</x:v>
      </x:c>
      <x:c r="O178" s="30" t="str">
        <x:v>Per frozen page-format standard</x:v>
      </x:c>
      <x:c r="P178" s="30" t="str">
        <x:v>Fundamental textbooks only — assign before drafting</x:v>
      </x:c>
      <x:c r="Q178" s="30" t="str">
        <x:v>Not started</x:v>
      </x:c>
      <x:c r="R178" s="30" t="str">
        <x:v>Not published</x:v>
      </x:c>
      <x:c r="S178" s="31" t="str">
        <x:v>New knowledge/data page; prepare only after editorial workflow is approved.</x:v>
      </x:c>
    </x:row>
    <x:row r="179" ht="42" customHeight="1">
      <x:c r="A179" s="50" t="str">
        <x:v>ICH-EQP-070</x:v>
      </x:c>
      <x:c r="B179" s="30" t="str">
        <x:v>Knowledge/data page</x:v>
      </x:c>
      <x:c r="C179" s="53" t="str">
        <x:v>Industrial Equipment</x:v>
      </x:c>
      <x:c r="D179" s="30" t="str">
        <x:v>Feeders, Gates, Valves, Dampers and Airlocks</x:v>
      </x:c>
      <x:c r="E179" s="30" t="str">
        <x:v>Flow Aids</x:v>
      </x:c>
      <x:c r="F179" s="30" t="str">
        <x:v>Mechanical Flow Aids</x:v>
      </x:c>
      <x:c r="G179" s="30" t="str">
        <x:v>Bin Activator</x:v>
      </x:c>
      <x:c r="H179" s="30" t="str">
        <x:v>Industrial Equipment &gt; Feeders, Gates, Valves, Dampers and Airlocks &gt; Flow Aids &gt; Mechanical Flow Aids &gt; Bin Activator</x:v>
      </x:c>
      <x:c r="I179" s="30" t="str">
        <x:v>—</x:v>
      </x:c>
      <x:c r="J179" s="30" t="str">
        <x:v>Planned — not started</x:v>
      </x:c>
      <x:c r="K179" s="30" t="str">
        <x:v>Industrial equipment page</x:v>
      </x:c>
      <x:c r="L179" s="30" t="str">
        <x:v>Pending URL standard</x:v>
      </x:c>
      <x:c r="M179" s="30" t="str">
        <x:v>EQP.bin_activator</x:v>
      </x:c>
      <x:c r="N179" s="30" t="str">
        <x:v>Required: labelled equipment diagram</x:v>
      </x:c>
      <x:c r="O179" s="30" t="str">
        <x:v>Per frozen page-format standard</x:v>
      </x:c>
      <x:c r="P179" s="30" t="str">
        <x:v>Fundamental textbooks only — assign before drafting</x:v>
      </x:c>
      <x:c r="Q179" s="30" t="str">
        <x:v>Not started</x:v>
      </x:c>
      <x:c r="R179" s="30" t="str">
        <x:v>Not published</x:v>
      </x:c>
      <x:c r="S179" s="31" t="str">
        <x:v>New knowledge/data page; prepare only after editorial workflow is approved.</x:v>
      </x:c>
    </x:row>
    <x:row r="180" ht="42" customHeight="1">
      <x:c r="A180" s="50" t="str">
        <x:v>ICH-EQP-071</x:v>
      </x:c>
      <x:c r="B180" s="30" t="str">
        <x:v>Knowledge/data page</x:v>
      </x:c>
      <x:c r="C180" s="53" t="str">
        <x:v>Industrial Equipment</x:v>
      </x:c>
      <x:c r="D180" s="30" t="str">
        <x:v>Feeders, Gates, Valves, Dampers and Airlocks</x:v>
      </x:c>
      <x:c r="E180" s="30" t="str">
        <x:v>Flow Aids</x:v>
      </x:c>
      <x:c r="F180" s="30" t="str">
        <x:v>Mechanical Flow Aids</x:v>
      </x:c>
      <x:c r="G180" s="30" t="str">
        <x:v>Industrial Vibrator and Knocker</x:v>
      </x:c>
      <x:c r="H180" s="30" t="str">
        <x:v>Industrial Equipment &gt; Feeders, Gates, Valves, Dampers and Airlocks &gt; Flow Aids &gt; Mechanical Flow Aids &gt; Industrial Vibrator and Knocker</x:v>
      </x:c>
      <x:c r="I180" s="30" t="str">
        <x:v>—</x:v>
      </x:c>
      <x:c r="J180" s="30" t="str">
        <x:v>Planned — not started</x:v>
      </x:c>
      <x:c r="K180" s="30" t="str">
        <x:v>Industrial equipment page</x:v>
      </x:c>
      <x:c r="L180" s="30" t="str">
        <x:v>Pending URL standard</x:v>
      </x:c>
      <x:c r="M180" s="30" t="str">
        <x:v>EQP.industrial_vibrator_and_knocker</x:v>
      </x:c>
      <x:c r="N180" s="30" t="str">
        <x:v>Required: labelled equipment diagram</x:v>
      </x:c>
      <x:c r="O180" s="30" t="str">
        <x:v>Per frozen page-format standard</x:v>
      </x:c>
      <x:c r="P180" s="30" t="str">
        <x:v>Fundamental textbooks only — assign before drafting</x:v>
      </x:c>
      <x:c r="Q180" s="30" t="str">
        <x:v>Not started</x:v>
      </x:c>
      <x:c r="R180" s="30" t="str">
        <x:v>Not published</x:v>
      </x:c>
      <x:c r="S180" s="31" t="str">
        <x:v>New knowledge/data page; prepare only after editorial workflow is approved.</x:v>
      </x:c>
    </x:row>
    <x:row r="181" ht="42" customHeight="1">
      <x:c r="A181" s="50" t="str">
        <x:v>ICH-EQP-072</x:v>
      </x:c>
      <x:c r="B181" s="30" t="str">
        <x:v>Knowledge/data page</x:v>
      </x:c>
      <x:c r="C181" s="53" t="str">
        <x:v>Industrial Equipment</x:v>
      </x:c>
      <x:c r="D181" s="30" t="str">
        <x:v>Pumps, Fans, Blowers and Compressors</x:v>
      </x:c>
      <x:c r="E181" s="30" t="str">
        <x:v>Pumps &gt; Centrifugal Pump &gt; Pump Casing, Impeller and Seal &gt; Centrifugal Pump Components</x:v>
      </x:c>
      <x:c r="F181" s="30" t="str">
        <x:v>—</x:v>
      </x:c>
      <x:c r="G181" s="30" t="str">
        <x:v>Pumps &gt; Centrifugal Pump &gt; Pump Casing, Impeller and Seal &gt; Centrifugal Pump Components</x:v>
      </x:c>
      <x:c r="H181" s="30" t="str">
        <x:v>Industrial Equipment &gt; Pumps, Fans, Blowers and Compressors &gt; Pumps &gt; Centrifugal Pump &gt; Pump Casing, Impeller and Seal &gt; Centrifugal Pump Components</x:v>
      </x:c>
      <x:c r="I181" s="30" t="str">
        <x:v>—</x:v>
      </x:c>
      <x:c r="J181" s="30" t="str">
        <x:v>Planned — not started</x:v>
      </x:c>
      <x:c r="K181" s="30" t="str">
        <x:v>Industrial equipment page</x:v>
      </x:c>
      <x:c r="L181" s="30" t="str">
        <x:v>Pending URL standard</x:v>
      </x:c>
      <x:c r="M181" s="30" t="str">
        <x:v>EQP.pumps_centrifugal_pump_pump_casing_impeller_and_seal_centrifugal_pump_components</x:v>
      </x:c>
      <x:c r="N181" s="30" t="str">
        <x:v>Required: labelled equipment diagram</x:v>
      </x:c>
      <x:c r="O181" s="30" t="str">
        <x:v>Per frozen page-format standard</x:v>
      </x:c>
      <x:c r="P181" s="30" t="str">
        <x:v>Fundamental textbooks only — assign before drafting</x:v>
      </x:c>
      <x:c r="Q181" s="30" t="str">
        <x:v>Not started</x:v>
      </x:c>
      <x:c r="R181" s="30" t="str">
        <x:v>Not published</x:v>
      </x:c>
      <x:c r="S181" s="31" t="str">
        <x:v>New knowledge/data page; prepare only after editorial workflow is approved.</x:v>
      </x:c>
    </x:row>
    <x:row r="182" ht="42" customHeight="1">
      <x:c r="A182" s="50" t="str">
        <x:v>ICH-EQP-073</x:v>
      </x:c>
      <x:c r="B182" s="30" t="str">
        <x:v>Knowledge/data page</x:v>
      </x:c>
      <x:c r="C182" s="53" t="str">
        <x:v>Industrial Equipment</x:v>
      </x:c>
      <x:c r="D182" s="30" t="str">
        <x:v>Pumps, Fans, Blowers and Compressors</x:v>
      </x:c>
      <x:c r="E182" s="30" t="str">
        <x:v>Fans &gt; Centrifugal Fan &gt; Impeller, Casing and Inlet Box &gt; Industrial Centrifugal Fan Components</x:v>
      </x:c>
      <x:c r="F182" s="30" t="str">
        <x:v>—</x:v>
      </x:c>
      <x:c r="G182" s="30" t="str">
        <x:v>Fans &gt; Centrifugal Fan &gt; Impeller, Casing and Inlet Box &gt; Industrial Centrifugal Fan Components</x:v>
      </x:c>
      <x:c r="H182" s="30" t="str">
        <x:v>Industrial Equipment &gt; Pumps, Fans, Blowers and Compressors &gt; Fans &gt; Centrifugal Fan &gt; Impeller, Casing and Inlet Box &gt; Industrial Centrifugal Fan Components</x:v>
      </x:c>
      <x:c r="I182" s="30" t="str">
        <x:v>—</x:v>
      </x:c>
      <x:c r="J182" s="30" t="str">
        <x:v>Planned — not started</x:v>
      </x:c>
      <x:c r="K182" s="30" t="str">
        <x:v>Industrial equipment page</x:v>
      </x:c>
      <x:c r="L182" s="30" t="str">
        <x:v>Pending URL standard</x:v>
      </x:c>
      <x:c r="M182" s="30" t="str">
        <x:v>EQP.fans_centrifugal_fan_impeller_casing_and_inlet_box_industrial_centrifugal_fan_components</x:v>
      </x:c>
      <x:c r="N182" s="30" t="str">
        <x:v>Required: labelled equipment diagram</x:v>
      </x:c>
      <x:c r="O182" s="30" t="str">
        <x:v>Per frozen page-format standard</x:v>
      </x:c>
      <x:c r="P182" s="30" t="str">
        <x:v>Fundamental textbooks only — assign before drafting</x:v>
      </x:c>
      <x:c r="Q182" s="30" t="str">
        <x:v>Not started</x:v>
      </x:c>
      <x:c r="R182" s="30" t="str">
        <x:v>Not published</x:v>
      </x:c>
      <x:c r="S182" s="31" t="str">
        <x:v>New knowledge/data page; prepare only after editorial workflow is approved.</x:v>
      </x:c>
    </x:row>
    <x:row r="183" ht="42" customHeight="1">
      <x:c r="A183" s="50" t="str">
        <x:v>ICH-EQP-074</x:v>
      </x:c>
      <x:c r="B183" s="30" t="str">
        <x:v>Knowledge/data page</x:v>
      </x:c>
      <x:c r="C183" s="53" t="str">
        <x:v>Industrial Equipment</x:v>
      </x:c>
      <x:c r="D183" s="30" t="str">
        <x:v>Pumps, Fans, Blowers and Compressors</x:v>
      </x:c>
      <x:c r="E183" s="30" t="str">
        <x:v>Blowers &gt; Roots Blower &gt; Lobes and Casing &gt; Roots Blower Working Principle</x:v>
      </x:c>
      <x:c r="F183" s="30" t="str">
        <x:v>—</x:v>
      </x:c>
      <x:c r="G183" s="30" t="str">
        <x:v>Blowers &gt; Roots Blower &gt; Lobes and Casing &gt; Roots Blower Working Principle</x:v>
      </x:c>
      <x:c r="H183" s="30" t="str">
        <x:v>Industrial Equipment &gt; Pumps, Fans, Blowers and Compressors &gt; Blowers &gt; Roots Blower &gt; Lobes and Casing &gt; Roots Blower Working Principle</x:v>
      </x:c>
      <x:c r="I183" s="30" t="str">
        <x:v>—</x:v>
      </x:c>
      <x:c r="J183" s="30" t="str">
        <x:v>Planned — not started</x:v>
      </x:c>
      <x:c r="K183" s="30" t="str">
        <x:v>Industrial equipment page</x:v>
      </x:c>
      <x:c r="L183" s="30" t="str">
        <x:v>Pending URL standard</x:v>
      </x:c>
      <x:c r="M183" s="30" t="str">
        <x:v>EQP.blowers_roots_blower_lobes_and_casing_roots_blower_working_principle</x:v>
      </x:c>
      <x:c r="N183" s="30" t="str">
        <x:v>Required: labelled equipment diagram</x:v>
      </x:c>
      <x:c r="O183" s="30" t="str">
        <x:v>Per frozen page-format standard</x:v>
      </x:c>
      <x:c r="P183" s="30" t="str">
        <x:v>Fundamental textbooks only — assign before drafting</x:v>
      </x:c>
      <x:c r="Q183" s="30" t="str">
        <x:v>Not started</x:v>
      </x:c>
      <x:c r="R183" s="30" t="str">
        <x:v>Not published</x:v>
      </x:c>
      <x:c r="S183" s="31" t="str">
        <x:v>New knowledge/data page; prepare only after editorial workflow is approved.</x:v>
      </x:c>
    </x:row>
    <x:row r="184" ht="42" customHeight="1">
      <x:c r="A184" s="50" t="str">
        <x:v>ICH-EQP-075</x:v>
      </x:c>
      <x:c r="B184" s="30" t="str">
        <x:v>Knowledge/data page</x:v>
      </x:c>
      <x:c r="C184" s="53" t="str">
        <x:v>Industrial Equipment</x:v>
      </x:c>
      <x:c r="D184" s="30" t="str">
        <x:v>Pumps, Fans, Blowers and Compressors</x:v>
      </x:c>
      <x:c r="E184" s="30" t="str">
        <x:v>Compressors &gt; Air Compressor &gt; Compression Stages and Accessories &gt; Industrial Air Compressor Components</x:v>
      </x:c>
      <x:c r="F184" s="30" t="str">
        <x:v>—</x:v>
      </x:c>
      <x:c r="G184" s="30" t="str">
        <x:v>Compressors &gt; Air Compressor &gt; Compression Stages and Accessories &gt; Industrial Air Compressor Components</x:v>
      </x:c>
      <x:c r="H184" s="30" t="str">
        <x:v>Industrial Equipment &gt; Pumps, Fans, Blowers and Compressors &gt; Compressors &gt; Air Compressor &gt; Compression Stages and Accessories &gt; Industrial Air Compressor Components</x:v>
      </x:c>
      <x:c r="I184" s="30" t="str">
        <x:v>—</x:v>
      </x:c>
      <x:c r="J184" s="30" t="str">
        <x:v>Planned — not started</x:v>
      </x:c>
      <x:c r="K184" s="30" t="str">
        <x:v>Industrial equipment page</x:v>
      </x:c>
      <x:c r="L184" s="30" t="str">
        <x:v>Pending URL standard</x:v>
      </x:c>
      <x:c r="M184" s="30" t="str">
        <x:v>EQP.compressors_air_compressor_compression_stages_and_accessories_industrial_air_compressor_components</x:v>
      </x:c>
      <x:c r="N184" s="30" t="str">
        <x:v>Required: labelled equipment diagram</x:v>
      </x:c>
      <x:c r="O184" s="30" t="str">
        <x:v>Per frozen page-format standard</x:v>
      </x:c>
      <x:c r="P184" s="30" t="str">
        <x:v>Fundamental textbooks only — assign before drafting</x:v>
      </x:c>
      <x:c r="Q184" s="30" t="str">
        <x:v>Not started</x:v>
      </x:c>
      <x:c r="R184" s="30" t="str">
        <x:v>Not published</x:v>
      </x:c>
      <x:c r="S184" s="31" t="str">
        <x:v>New knowledge/data page; prepare only after editorial workflow is approved.</x:v>
      </x:c>
    </x:row>
    <x:row r="185" ht="42" customHeight="1">
      <x:c r="A185" s="50" t="str">
        <x:v>ICH-EQP-076</x:v>
      </x:c>
      <x:c r="B185" s="30" t="str">
        <x:v>Knowledge/data page</x:v>
      </x:c>
      <x:c r="C185" s="53" t="str">
        <x:v>Industrial Equipment</x:v>
      </x:c>
      <x:c r="D185" s="30" t="str">
        <x:v>Heat Exchangers, Cooling Systems and Vessels</x:v>
      </x:c>
      <x:c r="E185" s="30" t="str">
        <x:v>Heat Exchangers &gt; Shell-and-Tube Heat Exchangers &gt; Shell, Tube Bundle and Channel &gt; Shell-and-Tube Heat Exchanger Components</x:v>
      </x:c>
      <x:c r="F185" s="30" t="str">
        <x:v>—</x:v>
      </x:c>
      <x:c r="G185" s="30" t="str">
        <x:v>Heat Exchangers &gt; Shell-and-Tube Heat Exchangers &gt; Shell, Tube Bundle and Channel &gt; Shell-and-Tube Heat Exchanger Components</x:v>
      </x:c>
      <x:c r="H185" s="30" t="str">
        <x:v>Industrial Equipment &gt; Heat Exchangers, Cooling Systems and Vessels &gt; Heat Exchangers &gt; Shell-and-Tube Heat Exchangers &gt; Shell, Tube Bundle and Channel &gt; Shell-and-Tube Heat Exchanger Components</x:v>
      </x:c>
      <x:c r="I185" s="30" t="str">
        <x:v>—</x:v>
      </x:c>
      <x:c r="J185" s="30" t="str">
        <x:v>Planned — not started</x:v>
      </x:c>
      <x:c r="K185" s="30" t="str">
        <x:v>Industrial equipment page</x:v>
      </x:c>
      <x:c r="L185" s="30" t="str">
        <x:v>Pending URL standard</x:v>
      </x:c>
      <x:c r="M185" s="30" t="str">
        <x:v>EQP.heat_exchangers_shell_and_tube_heat_exchangers_shell_tube_bundle_and_channel_shell_and_tube_heat_exchanger_components</x:v>
      </x:c>
      <x:c r="N185" s="30" t="str">
        <x:v>Required: labelled equipment diagram</x:v>
      </x:c>
      <x:c r="O185" s="30" t="str">
        <x:v>Per frozen page-format standard</x:v>
      </x:c>
      <x:c r="P185" s="30" t="str">
        <x:v>Fundamental textbooks only — assign before drafting</x:v>
      </x:c>
      <x:c r="Q185" s="30" t="str">
        <x:v>Not started</x:v>
      </x:c>
      <x:c r="R185" s="30" t="str">
        <x:v>Not published</x:v>
      </x:c>
      <x:c r="S185" s="31" t="str">
        <x:v>New knowledge/data page; prepare only after editorial workflow is approved.</x:v>
      </x:c>
    </x:row>
    <x:row r="186" ht="42" customHeight="1">
      <x:c r="A186" s="50" t="str">
        <x:v>ICH-EQP-077</x:v>
      </x:c>
      <x:c r="B186" s="30" t="str">
        <x:v>Knowledge/data page</x:v>
      </x:c>
      <x:c r="C186" s="53" t="str">
        <x:v>Industrial Equipment</x:v>
      </x:c>
      <x:c r="D186" s="30" t="str">
        <x:v>Heat Exchangers, Cooling Systems and Vessels</x:v>
      </x:c>
      <x:c r="E186" s="30" t="str">
        <x:v>Cooling Systems &gt; Cooling Towers &gt; Fill, Nozzles, Fan and Drift Eliminator &gt; Cooling Tower Components</x:v>
      </x:c>
      <x:c r="F186" s="30" t="str">
        <x:v>—</x:v>
      </x:c>
      <x:c r="G186" s="30" t="str">
        <x:v>Cooling Systems &gt; Cooling Towers &gt; Fill, Nozzles, Fan and Drift Eliminator &gt; Cooling Tower Components</x:v>
      </x:c>
      <x:c r="H186" s="30" t="str">
        <x:v>Industrial Equipment &gt; Heat Exchangers, Cooling Systems and Vessels &gt; Cooling Systems &gt; Cooling Towers &gt; Fill, Nozzles, Fan and Drift Eliminator &gt; Cooling Tower Components</x:v>
      </x:c>
      <x:c r="I186" s="30" t="str">
        <x:v>—</x:v>
      </x:c>
      <x:c r="J186" s="30" t="str">
        <x:v>Planned — not started</x:v>
      </x:c>
      <x:c r="K186" s="30" t="str">
        <x:v>Industrial equipment page</x:v>
      </x:c>
      <x:c r="L186" s="30" t="str">
        <x:v>Pending URL standard</x:v>
      </x:c>
      <x:c r="M186" s="30" t="str">
        <x:v>EQP.cooling_systems_cooling_towers_fill_nozzles_fan_and_drift_eliminator_cooling_tower_components</x:v>
      </x:c>
      <x:c r="N186" s="30" t="str">
        <x:v>Required: labelled equipment diagram</x:v>
      </x:c>
      <x:c r="O186" s="30" t="str">
        <x:v>Per frozen page-format standard</x:v>
      </x:c>
      <x:c r="P186" s="30" t="str">
        <x:v>Fundamental textbooks only — assign before drafting</x:v>
      </x:c>
      <x:c r="Q186" s="30" t="str">
        <x:v>Not started</x:v>
      </x:c>
      <x:c r="R186" s="30" t="str">
        <x:v>Not published</x:v>
      </x:c>
      <x:c r="S186" s="31" t="str">
        <x:v>New knowledge/data page; prepare only after editorial workflow is approved.</x:v>
      </x:c>
    </x:row>
    <x:row r="187" ht="42" customHeight="1">
      <x:c r="A187" s="50" t="str">
        <x:v>ICH-EQP-078</x:v>
      </x:c>
      <x:c r="B187" s="30" t="str">
        <x:v>Knowledge/data page</x:v>
      </x:c>
      <x:c r="C187" s="53" t="str">
        <x:v>Industrial Equipment</x:v>
      </x:c>
      <x:c r="D187" s="30" t="str">
        <x:v>Heat Exchangers, Cooling Systems and Vessels</x:v>
      </x:c>
      <x:c r="E187" s="30" t="str">
        <x:v>Pressure Vessels &gt; Vertical Vessels &gt; Shell, Heads, Nozzles and Supports &gt; Pressure Vessel Components</x:v>
      </x:c>
      <x:c r="F187" s="30" t="str">
        <x:v>—</x:v>
      </x:c>
      <x:c r="G187" s="30" t="str">
        <x:v>Pressure Vessels &gt; Vertical Vessels &gt; Shell, Heads, Nozzles and Supports &gt; Pressure Vessel Components</x:v>
      </x:c>
      <x:c r="H187" s="30" t="str">
        <x:v>Industrial Equipment &gt; Heat Exchangers, Cooling Systems and Vessels &gt; Pressure Vessels &gt; Vertical Vessels &gt; Shell, Heads, Nozzles and Supports &gt; Pressure Vessel Components</x:v>
      </x:c>
      <x:c r="I187" s="30" t="str">
        <x:v>—</x:v>
      </x:c>
      <x:c r="J187" s="30" t="str">
        <x:v>Planned — not started</x:v>
      </x:c>
      <x:c r="K187" s="30" t="str">
        <x:v>Industrial equipment page</x:v>
      </x:c>
      <x:c r="L187" s="30" t="str">
        <x:v>Pending URL standard</x:v>
      </x:c>
      <x:c r="M187" s="30" t="str">
        <x:v>EQP.pressure_vessels_vertical_vessels_shell_heads_nozzles_and_supports_pressure_vessel_components</x:v>
      </x:c>
      <x:c r="N187" s="30" t="str">
        <x:v>Required: labelled equipment diagram</x:v>
      </x:c>
      <x:c r="O187" s="30" t="str">
        <x:v>Per frozen page-format standard</x:v>
      </x:c>
      <x:c r="P187" s="30" t="str">
        <x:v>Fundamental textbooks only — assign before drafting</x:v>
      </x:c>
      <x:c r="Q187" s="30" t="str">
        <x:v>Not started</x:v>
      </x:c>
      <x:c r="R187" s="30" t="str">
        <x:v>Not published</x:v>
      </x:c>
      <x:c r="S187" s="31" t="str">
        <x:v>New knowledge/data page; prepare only after editorial workflow is approved.</x:v>
      </x:c>
    </x:row>
    <x:row r="188" ht="42" customHeight="1">
      <x:c r="A188" s="50" t="str">
        <x:v>ICH-EQP-079</x:v>
      </x:c>
      <x:c r="B188" s="30" t="str">
        <x:v>Knowledge/data page</x:v>
      </x:c>
      <x:c r="C188" s="53" t="str">
        <x:v>Industrial Equipment</x:v>
      </x:c>
      <x:c r="D188" s="30" t="str">
        <x:v>Heat Exchangers, Cooling Systems and Vessels</x:v>
      </x:c>
      <x:c r="E188" s="30" t="str">
        <x:v>Storage Tanks &gt; Atmospheric Storage Tanks &gt; Roof, Shell, Bottom and Appurtenances &gt; Storage Tank Components</x:v>
      </x:c>
      <x:c r="F188" s="30" t="str">
        <x:v>—</x:v>
      </x:c>
      <x:c r="G188" s="30" t="str">
        <x:v>Storage Tanks &gt; Atmospheric Storage Tanks &gt; Roof, Shell, Bottom and Appurtenances &gt; Storage Tank Components</x:v>
      </x:c>
      <x:c r="H188" s="30" t="str">
        <x:v>Industrial Equipment &gt; Heat Exchangers, Cooling Systems and Vessels &gt; Storage Tanks &gt; Atmospheric Storage Tanks &gt; Roof, Shell, Bottom and Appurtenances &gt; Storage Tank Components</x:v>
      </x:c>
      <x:c r="I188" s="30" t="str">
        <x:v>—</x:v>
      </x:c>
      <x:c r="J188" s="30" t="str">
        <x:v>Planned — not started</x:v>
      </x:c>
      <x:c r="K188" s="30" t="str">
        <x:v>Industrial equipment page</x:v>
      </x:c>
      <x:c r="L188" s="30" t="str">
        <x:v>Pending URL standard</x:v>
      </x:c>
      <x:c r="M188" s="30" t="str">
        <x:v>EQP.storage_tanks_atmospheric_storage_tanks_roof_shell_bottom_and_appurtenances_storage_tank_components</x:v>
      </x:c>
      <x:c r="N188" s="30" t="str">
        <x:v>Required: labelled equipment diagram</x:v>
      </x:c>
      <x:c r="O188" s="30" t="str">
        <x:v>Per frozen page-format standard</x:v>
      </x:c>
      <x:c r="P188" s="30" t="str">
        <x:v>Fundamental textbooks only — assign before drafting</x:v>
      </x:c>
      <x:c r="Q188" s="30" t="str">
        <x:v>Not started</x:v>
      </x:c>
      <x:c r="R188" s="30" t="str">
        <x:v>Not published</x:v>
      </x:c>
      <x:c r="S188" s="31" t="str">
        <x:v>New knowledge/data page; prepare only after editorial workflow is approved.</x:v>
      </x:c>
    </x:row>
    <x:row r="189" ht="42" customHeight="1">
      <x:c r="A189" s="50" t="str">
        <x:v>ICH-EQP-080</x:v>
      </x:c>
      <x:c r="B189" s="30" t="str">
        <x:v>Knowledge/data page</x:v>
      </x:c>
      <x:c r="C189" s="53" t="str">
        <x:v>Industrial Equipment</x:v>
      </x:c>
      <x:c r="D189" s="30" t="str">
        <x:v>Air Pollution Control Equipment</x:v>
      </x:c>
      <x:c r="E189" s="30" t="str">
        <x:v>Electrostatic Precipitators &gt; ESP Fields &gt; Electrodes, Rappers and TR Sets &gt; ESP Components</x:v>
      </x:c>
      <x:c r="F189" s="30" t="str">
        <x:v>—</x:v>
      </x:c>
      <x:c r="G189" s="30" t="str">
        <x:v>Electrostatic Precipitators &gt; ESP Fields &gt; Electrodes, Rappers and TR Sets &gt; ESP Components</x:v>
      </x:c>
      <x:c r="H189" s="30" t="str">
        <x:v>Industrial Equipment &gt; Air Pollution Control Equipment &gt; Electrostatic Precipitators &gt; ESP Fields &gt; Electrodes, Rappers and TR Sets &gt; ESP Components</x:v>
      </x:c>
      <x:c r="I189" s="30" t="str">
        <x:v>—</x:v>
      </x:c>
      <x:c r="J189" s="30" t="str">
        <x:v>Planned — not started</x:v>
      </x:c>
      <x:c r="K189" s="30" t="str">
        <x:v>Industrial equipment page</x:v>
      </x:c>
      <x:c r="L189" s="30" t="str">
        <x:v>Pending URL standard</x:v>
      </x:c>
      <x:c r="M189" s="30" t="str">
        <x:v>EQP.electrostatic_precipitators_esp_fields_electrodes_rappers_and_tr_sets_esp_components</x:v>
      </x:c>
      <x:c r="N189" s="30" t="str">
        <x:v>Required: labelled equipment diagram</x:v>
      </x:c>
      <x:c r="O189" s="30" t="str">
        <x:v>Per frozen page-format standard</x:v>
      </x:c>
      <x:c r="P189" s="30" t="str">
        <x:v>Fundamental textbooks only — assign before drafting</x:v>
      </x:c>
      <x:c r="Q189" s="30" t="str">
        <x:v>Not started</x:v>
      </x:c>
      <x:c r="R189" s="30" t="str">
        <x:v>Not published</x:v>
      </x:c>
      <x:c r="S189" s="31" t="str">
        <x:v>New knowledge/data page; prepare only after editorial workflow is approved.</x:v>
      </x:c>
    </x:row>
    <x:row r="190" ht="42" customHeight="1">
      <x:c r="A190" s="50" t="str">
        <x:v>ICH-EQP-081</x:v>
      </x:c>
      <x:c r="B190" s="30" t="str">
        <x:v>Knowledge/data page</x:v>
      </x:c>
      <x:c r="C190" s="53" t="str">
        <x:v>Industrial Equipment</x:v>
      </x:c>
      <x:c r="D190" s="30" t="str">
        <x:v>Air Pollution Control Equipment</x:v>
      </x:c>
      <x:c r="E190" s="30" t="str">
        <x:v>Bag Filters &gt; Baghouse Sections &gt; Filter Bags, Cages, Pulse Valves and Hopper &gt; Bag Filter Components</x:v>
      </x:c>
      <x:c r="F190" s="30" t="str">
        <x:v>—</x:v>
      </x:c>
      <x:c r="G190" s="30" t="str">
        <x:v>Bag Filters &gt; Baghouse Sections &gt; Filter Bags, Cages, Pulse Valves and Hopper &gt; Bag Filter Components</x:v>
      </x:c>
      <x:c r="H190" s="30" t="str">
        <x:v>Industrial Equipment &gt; Air Pollution Control Equipment &gt; Bag Filters &gt; Baghouse Sections &gt; Filter Bags, Cages, Pulse Valves and Hopper &gt; Bag Filter Components</x:v>
      </x:c>
      <x:c r="I190" s="30" t="str">
        <x:v>—</x:v>
      </x:c>
      <x:c r="J190" s="30" t="str">
        <x:v>Planned — not started</x:v>
      </x:c>
      <x:c r="K190" s="30" t="str">
        <x:v>Industrial equipment page</x:v>
      </x:c>
      <x:c r="L190" s="30" t="str">
        <x:v>Pending URL standard</x:v>
      </x:c>
      <x:c r="M190" s="30" t="str">
        <x:v>EQP.bag_filters_baghouse_sections_filter_bags_cages_pulse_valves_and_hopper_bag_filter_components</x:v>
      </x:c>
      <x:c r="N190" s="30" t="str">
        <x:v>Required: labelled equipment diagram</x:v>
      </x:c>
      <x:c r="O190" s="30" t="str">
        <x:v>Per frozen page-format standard</x:v>
      </x:c>
      <x:c r="P190" s="30" t="str">
        <x:v>Fundamental textbooks only — assign before drafting</x:v>
      </x:c>
      <x:c r="Q190" s="30" t="str">
        <x:v>Not started</x:v>
      </x:c>
      <x:c r="R190" s="30" t="str">
        <x:v>Not published</x:v>
      </x:c>
      <x:c r="S190" s="31" t="str">
        <x:v>New knowledge/data page; prepare only after editorial workflow is approved.</x:v>
      </x:c>
    </x:row>
    <x:row r="191" ht="42" customHeight="1">
      <x:c r="A191" s="50" t="str">
        <x:v>ICH-EQP-082</x:v>
      </x:c>
      <x:c r="B191" s="30" t="str">
        <x:v>Knowledge/data page</x:v>
      </x:c>
      <x:c r="C191" s="53" t="str">
        <x:v>Industrial Equipment</x:v>
      </x:c>
      <x:c r="D191" s="30" t="str">
        <x:v>Air Pollution Control Equipment</x:v>
      </x:c>
      <x:c r="E191" s="30" t="str">
        <x:v>Cyclone Separators &gt; Cyclone Body &gt; Inlet, Vortex Finder and Hopper &gt; Cyclone Separator Components</x:v>
      </x:c>
      <x:c r="F191" s="30" t="str">
        <x:v>—</x:v>
      </x:c>
      <x:c r="G191" s="30" t="str">
        <x:v>Cyclone Separators &gt; Cyclone Body &gt; Inlet, Vortex Finder and Hopper &gt; Cyclone Separator Components</x:v>
      </x:c>
      <x:c r="H191" s="30" t="str">
        <x:v>Industrial Equipment &gt; Air Pollution Control Equipment &gt; Cyclone Separators &gt; Cyclone Body &gt; Inlet, Vortex Finder and Hopper &gt; Cyclone Separator Components</x:v>
      </x:c>
      <x:c r="I191" s="30" t="str">
        <x:v>—</x:v>
      </x:c>
      <x:c r="J191" s="30" t="str">
        <x:v>Planned — not started</x:v>
      </x:c>
      <x:c r="K191" s="30" t="str">
        <x:v>Industrial equipment page</x:v>
      </x:c>
      <x:c r="L191" s="30" t="str">
        <x:v>Pending URL standard</x:v>
      </x:c>
      <x:c r="M191" s="30" t="str">
        <x:v>EQP.cyclone_separators_cyclone_body_inlet_vortex_finder_and_hopper_cyclone_separator_components</x:v>
      </x:c>
      <x:c r="N191" s="30" t="str">
        <x:v>Required: labelled equipment diagram</x:v>
      </x:c>
      <x:c r="O191" s="30" t="str">
        <x:v>Per frozen page-format standard</x:v>
      </x:c>
      <x:c r="P191" s="30" t="str">
        <x:v>Fundamental textbooks only — assign before drafting</x:v>
      </x:c>
      <x:c r="Q191" s="30" t="str">
        <x:v>Not started</x:v>
      </x:c>
      <x:c r="R191" s="30" t="str">
        <x:v>Not published</x:v>
      </x:c>
      <x:c r="S191" s="31" t="str">
        <x:v>New knowledge/data page; prepare only after editorial workflow is approved.</x:v>
      </x:c>
    </x:row>
    <x:row r="192" ht="42" customHeight="1">
      <x:c r="A192" s="50" t="str">
        <x:v>ICH-EQP-083</x:v>
      </x:c>
      <x:c r="B192" s="30" t="str">
        <x:v>Knowledge/data page</x:v>
      </x:c>
      <x:c r="C192" s="53" t="str">
        <x:v>Industrial Equipment</x:v>
      </x:c>
      <x:c r="D192" s="30" t="str">
        <x:v>Air Pollution Control Equipment</x:v>
      </x:c>
      <x:c r="E192" s="30" t="str">
        <x:v>Wet Scrubbers &gt; Scrubber System &gt; Spray Nozzles, Packing and Mist Eliminator &gt; Wet Scrubber Components</x:v>
      </x:c>
      <x:c r="F192" s="30" t="str">
        <x:v>—</x:v>
      </x:c>
      <x:c r="G192" s="30" t="str">
        <x:v>Wet Scrubbers &gt; Scrubber System &gt; Spray Nozzles, Packing and Mist Eliminator &gt; Wet Scrubber Components</x:v>
      </x:c>
      <x:c r="H192" s="30" t="str">
        <x:v>Industrial Equipment &gt; Air Pollution Control Equipment &gt; Wet Scrubbers &gt; Scrubber System &gt; Spray Nozzles, Packing and Mist Eliminator &gt; Wet Scrubber Components</x:v>
      </x:c>
      <x:c r="I192" s="30" t="str">
        <x:v>—</x:v>
      </x:c>
      <x:c r="J192" s="30" t="str">
        <x:v>Planned — not started</x:v>
      </x:c>
      <x:c r="K192" s="30" t="str">
        <x:v>Industrial equipment page</x:v>
      </x:c>
      <x:c r="L192" s="30" t="str">
        <x:v>Pending URL standard</x:v>
      </x:c>
      <x:c r="M192" s="30" t="str">
        <x:v>EQP.wet_scrubbers_scrubber_system_spray_nozzles_packing_and_mist_eliminator_wet_scrubber_components</x:v>
      </x:c>
      <x:c r="N192" s="30" t="str">
        <x:v>Required: labelled equipment diagram</x:v>
      </x:c>
      <x:c r="O192" s="30" t="str">
        <x:v>Per frozen page-format standard</x:v>
      </x:c>
      <x:c r="P192" s="30" t="str">
        <x:v>Fundamental textbooks only — assign before drafting</x:v>
      </x:c>
      <x:c r="Q192" s="30" t="str">
        <x:v>Not started</x:v>
      </x:c>
      <x:c r="R192" s="30" t="str">
        <x:v>Not published</x:v>
      </x:c>
      <x:c r="S192" s="31" t="str">
        <x:v>New knowledge/data page; prepare only after editorial workflow is approved.</x:v>
      </x:c>
    </x:row>
    <x:row r="193" ht="42" customHeight="1">
      <x:c r="A193" s="50" t="str">
        <x:v>ICH-EQP-084</x:v>
      </x:c>
      <x:c r="B193" s="30" t="str">
        <x:v>Knowledge/data page</x:v>
      </x:c>
      <x:c r="C193" s="53" t="str">
        <x:v>Industrial Equipment</x:v>
      </x:c>
      <x:c r="D193" s="30" t="str">
        <x:v>Electrical and Instrumentation Equipment</x:v>
      </x:c>
      <x:c r="E193" s="30" t="str">
        <x:v>Motors &gt; Induction Motors &gt; Stator, Rotor and Bearings &gt; Induction Motor Components</x:v>
      </x:c>
      <x:c r="F193" s="30" t="str">
        <x:v>—</x:v>
      </x:c>
      <x:c r="G193" s="30" t="str">
        <x:v>Motors &gt; Induction Motors &gt; Stator, Rotor and Bearings &gt; Induction Motor Components</x:v>
      </x:c>
      <x:c r="H193" s="30" t="str">
        <x:v>Industrial Equipment &gt; Electrical and Instrumentation Equipment &gt; Motors &gt; Induction Motors &gt; Stator, Rotor and Bearings &gt; Induction Motor Components</x:v>
      </x:c>
      <x:c r="I193" s="30" t="str">
        <x:v>—</x:v>
      </x:c>
      <x:c r="J193" s="30" t="str">
        <x:v>Planned — not started</x:v>
      </x:c>
      <x:c r="K193" s="30" t="str">
        <x:v>Industrial equipment page</x:v>
      </x:c>
      <x:c r="L193" s="30" t="str">
        <x:v>Pending URL standard</x:v>
      </x:c>
      <x:c r="M193" s="30" t="str">
        <x:v>EQP.motors_induction_motors_stator_rotor_and_bearings_induction_motor_components</x:v>
      </x:c>
      <x:c r="N193" s="30" t="str">
        <x:v>Required: labelled equipment diagram</x:v>
      </x:c>
      <x:c r="O193" s="30" t="str">
        <x:v>Per frozen page-format standard</x:v>
      </x:c>
      <x:c r="P193" s="30" t="str">
        <x:v>Fundamental textbooks only — assign before drafting</x:v>
      </x:c>
      <x:c r="Q193" s="30" t="str">
        <x:v>Not started</x:v>
      </x:c>
      <x:c r="R193" s="30" t="str">
        <x:v>Not published</x:v>
      </x:c>
      <x:c r="S193" s="31" t="str">
        <x:v>New knowledge/data page; prepare only after editorial workflow is approved.</x:v>
      </x:c>
    </x:row>
    <x:row r="194" ht="42" customHeight="1">
      <x:c r="A194" s="50" t="str">
        <x:v>ICH-EQP-085</x:v>
      </x:c>
      <x:c r="B194" s="30" t="str">
        <x:v>Knowledge/data page</x:v>
      </x:c>
      <x:c r="C194" s="53" t="str">
        <x:v>Industrial Equipment</x:v>
      </x:c>
      <x:c r="D194" s="30" t="str">
        <x:v>Electrical and Instrumentation Equipment</x:v>
      </x:c>
      <x:c r="E194" s="30" t="str">
        <x:v>Transformers &gt; Power Transformers &gt; Core, Windings and Bushings &gt; Transformer Components</x:v>
      </x:c>
      <x:c r="F194" s="30" t="str">
        <x:v>—</x:v>
      </x:c>
      <x:c r="G194" s="30" t="str">
        <x:v>Transformers &gt; Power Transformers &gt; Core, Windings and Bushings &gt; Transformer Components</x:v>
      </x:c>
      <x:c r="H194" s="30" t="str">
        <x:v>Industrial Equipment &gt; Electrical and Instrumentation Equipment &gt; Transformers &gt; Power Transformers &gt; Core, Windings and Bushings &gt; Transformer Components</x:v>
      </x:c>
      <x:c r="I194" s="30" t="str">
        <x:v>—</x:v>
      </x:c>
      <x:c r="J194" s="30" t="str">
        <x:v>Planned — not started</x:v>
      </x:c>
      <x:c r="K194" s="30" t="str">
        <x:v>Industrial equipment page</x:v>
      </x:c>
      <x:c r="L194" s="30" t="str">
        <x:v>Pending URL standard</x:v>
      </x:c>
      <x:c r="M194" s="30" t="str">
        <x:v>EQP.transformers_power_transformers_core_windings_and_bushings_transformer_components</x:v>
      </x:c>
      <x:c r="N194" s="30" t="str">
        <x:v>Required: labelled equipment diagram</x:v>
      </x:c>
      <x:c r="O194" s="30" t="str">
        <x:v>Per frozen page-format standard</x:v>
      </x:c>
      <x:c r="P194" s="30" t="str">
        <x:v>Fundamental textbooks only — assign before drafting</x:v>
      </x:c>
      <x:c r="Q194" s="30" t="str">
        <x:v>Not started</x:v>
      </x:c>
      <x:c r="R194" s="30" t="str">
        <x:v>Not published</x:v>
      </x:c>
      <x:c r="S194" s="31" t="str">
        <x:v>New knowledge/data page; prepare only after editorial workflow is approved.</x:v>
      </x:c>
    </x:row>
    <x:row r="195" ht="42" customHeight="1">
      <x:c r="A195" s="50" t="str">
        <x:v>ICH-EQP-086</x:v>
      </x:c>
      <x:c r="B195" s="30" t="str">
        <x:v>Knowledge/data page</x:v>
      </x:c>
      <x:c r="C195" s="53" t="str">
        <x:v>Industrial Equipment</x:v>
      </x:c>
      <x:c r="D195" s="30" t="str">
        <x:v>Electrical and Instrumentation Equipment</x:v>
      </x:c>
      <x:c r="E195" s="30" t="str">
        <x:v>Switchgear &gt; Circuit Breakers &gt; Breaker, Relay and Panel &gt; Switchgear Components</x:v>
      </x:c>
      <x:c r="F195" s="30" t="str">
        <x:v>—</x:v>
      </x:c>
      <x:c r="G195" s="30" t="str">
        <x:v>Switchgear &gt; Circuit Breakers &gt; Breaker, Relay and Panel &gt; Switchgear Components</x:v>
      </x:c>
      <x:c r="H195" s="30" t="str">
        <x:v>Industrial Equipment &gt; Electrical and Instrumentation Equipment &gt; Switchgear &gt; Circuit Breakers &gt; Breaker, Relay and Panel &gt; Switchgear Components</x:v>
      </x:c>
      <x:c r="I195" s="30" t="str">
        <x:v>—</x:v>
      </x:c>
      <x:c r="J195" s="30" t="str">
        <x:v>Planned — not started</x:v>
      </x:c>
      <x:c r="K195" s="30" t="str">
        <x:v>Industrial equipment page</x:v>
      </x:c>
      <x:c r="L195" s="30" t="str">
        <x:v>Pending URL standard</x:v>
      </x:c>
      <x:c r="M195" s="30" t="str">
        <x:v>EQP.switchgear_circuit_breakers_breaker_relay_and_panel_switchgear_components</x:v>
      </x:c>
      <x:c r="N195" s="30" t="str">
        <x:v>Required: labelled equipment diagram</x:v>
      </x:c>
      <x:c r="O195" s="30" t="str">
        <x:v>Per frozen page-format standard</x:v>
      </x:c>
      <x:c r="P195" s="30" t="str">
        <x:v>Fundamental textbooks only — assign before drafting</x:v>
      </x:c>
      <x:c r="Q195" s="30" t="str">
        <x:v>Not started</x:v>
      </x:c>
      <x:c r="R195" s="30" t="str">
        <x:v>Not published</x:v>
      </x:c>
      <x:c r="S195" s="31" t="str">
        <x:v>New knowledge/data page; prepare only after editorial workflow is approved.</x:v>
      </x:c>
    </x:row>
    <x:row r="196" ht="42" customHeight="1">
      <x:c r="A196" s="50" t="str">
        <x:v>ICH-EQP-087</x:v>
      </x:c>
      <x:c r="B196" s="30" t="str">
        <x:v>Knowledge/data page</x:v>
      </x:c>
      <x:c r="C196" s="53" t="str">
        <x:v>Industrial Equipment</x:v>
      </x:c>
      <x:c r="D196" s="30" t="str">
        <x:v>Electrical and Instrumentation Equipment</x:v>
      </x:c>
      <x:c r="E196" s="30" t="str">
        <x:v>Field Instruments &gt; Flow Instruments &gt; Primary Element, Transmitter and Indicator &gt; Flow Measurement Instrument Components</x:v>
      </x:c>
      <x:c r="F196" s="30" t="str">
        <x:v>—</x:v>
      </x:c>
      <x:c r="G196" s="30" t="str">
        <x:v>Field Instruments &gt; Flow Instruments &gt; Primary Element, Transmitter and Indicator &gt; Flow Measurement Instrument Components</x:v>
      </x:c>
      <x:c r="H196" s="30" t="str">
        <x:v>Industrial Equipment &gt; Electrical and Instrumentation Equipment &gt; Field Instruments &gt; Flow Instruments &gt; Primary Element, Transmitter and Indicator &gt; Flow Measurement Instrument Components</x:v>
      </x:c>
      <x:c r="I196" s="30" t="str">
        <x:v>—</x:v>
      </x:c>
      <x:c r="J196" s="30" t="str">
        <x:v>Planned — not started</x:v>
      </x:c>
      <x:c r="K196" s="30" t="str">
        <x:v>Industrial equipment page</x:v>
      </x:c>
      <x:c r="L196" s="30" t="str">
        <x:v>Pending URL standard</x:v>
      </x:c>
      <x:c r="M196" s="30" t="str">
        <x:v>EQP.field_instruments_flow_instruments_primary_element_transmitter_and_indicator_flow_measurement_instrument_components</x:v>
      </x:c>
      <x:c r="N196" s="30" t="str">
        <x:v>Required: labelled equipment diagram</x:v>
      </x:c>
      <x:c r="O196" s="30" t="str">
        <x:v>Per frozen page-format standard</x:v>
      </x:c>
      <x:c r="P196" s="30" t="str">
        <x:v>Fundamental textbooks only — assign before drafting</x:v>
      </x:c>
      <x:c r="Q196" s="30" t="str">
        <x:v>Not started</x:v>
      </x:c>
      <x:c r="R196" s="30" t="str">
        <x:v>Not published</x:v>
      </x:c>
      <x:c r="S196" s="31" t="str">
        <x:v>New knowledge/data page; prepare only after editorial workflow is approved.</x:v>
      </x:c>
    </x:row>
    <x:row r="197" ht="42" customHeight="1">
      <x:c r="A197" s="50" t="str">
        <x:v>ICH-EQP-088</x:v>
      </x:c>
      <x:c r="B197" s="30" t="str">
        <x:v>Knowledge/data page</x:v>
      </x:c>
      <x:c r="C197" s="53" t="str">
        <x:v>Industrial Equipment</x:v>
      </x:c>
      <x:c r="D197" s="30" t="str">
        <x:v>Structural Steel, Supports and Access Equipment</x:v>
      </x:c>
      <x:c r="E197" s="30" t="str">
        <x:v>Pipe Supports &gt; Rigid Supports &gt; Shoe, Guide and Anchor &gt; Pipe Support Components</x:v>
      </x:c>
      <x:c r="F197" s="30" t="str">
        <x:v>—</x:v>
      </x:c>
      <x:c r="G197" s="30" t="str">
        <x:v>Pipe Supports &gt; Rigid Supports &gt; Shoe, Guide and Anchor &gt; Pipe Support Components</x:v>
      </x:c>
      <x:c r="H197" s="30" t="str">
        <x:v>Industrial Equipment &gt; Structural Steel, Supports and Access Equipment &gt; Pipe Supports &gt; Rigid Supports &gt; Shoe, Guide and Anchor &gt; Pipe Support Components</x:v>
      </x:c>
      <x:c r="I197" s="30" t="str">
        <x:v>—</x:v>
      </x:c>
      <x:c r="J197" s="30" t="str">
        <x:v>Planned — not started</x:v>
      </x:c>
      <x:c r="K197" s="30" t="str">
        <x:v>Industrial equipment page</x:v>
      </x:c>
      <x:c r="L197" s="30" t="str">
        <x:v>Pending URL standard</x:v>
      </x:c>
      <x:c r="M197" s="30" t="str">
        <x:v>EQP.pipe_supports_rigid_supports_shoe_guide_and_anchor_pipe_support_components</x:v>
      </x:c>
      <x:c r="N197" s="30" t="str">
        <x:v>Required: labelled equipment diagram</x:v>
      </x:c>
      <x:c r="O197" s="30" t="str">
        <x:v>Per frozen page-format standard</x:v>
      </x:c>
      <x:c r="P197" s="30" t="str">
        <x:v>Fundamental textbooks only — assign before drafting</x:v>
      </x:c>
      <x:c r="Q197" s="30" t="str">
        <x:v>Not started</x:v>
      </x:c>
      <x:c r="R197" s="30" t="str">
        <x:v>Not published</x:v>
      </x:c>
      <x:c r="S197" s="31" t="str">
        <x:v>New knowledge/data page; prepare only after editorial workflow is approved.</x:v>
      </x:c>
    </x:row>
    <x:row r="198" ht="42" customHeight="1">
      <x:c r="A198" s="50" t="str">
        <x:v>ICH-EQP-089</x:v>
      </x:c>
      <x:c r="B198" s="30" t="str">
        <x:v>Knowledge/data page</x:v>
      </x:c>
      <x:c r="C198" s="53" t="str">
        <x:v>Industrial Equipment</x:v>
      </x:c>
      <x:c r="D198" s="30" t="str">
        <x:v>Structural Steel, Supports and Access Equipment</x:v>
      </x:c>
      <x:c r="E198" s="30" t="str">
        <x:v>Steel Platforms &gt; Access Platforms &gt; Grating, Handrail and Toe Plate &gt; Industrial Platform Components</x:v>
      </x:c>
      <x:c r="F198" s="30" t="str">
        <x:v>—</x:v>
      </x:c>
      <x:c r="G198" s="30" t="str">
        <x:v>Steel Platforms &gt; Access Platforms &gt; Grating, Handrail and Toe Plate &gt; Industrial Platform Components</x:v>
      </x:c>
      <x:c r="H198" s="30" t="str">
        <x:v>Industrial Equipment &gt; Structural Steel, Supports and Access Equipment &gt; Steel Platforms &gt; Access Platforms &gt; Grating, Handrail and Toe Plate &gt; Industrial Platform Components</x:v>
      </x:c>
      <x:c r="I198" s="30" t="str">
        <x:v>—</x:v>
      </x:c>
      <x:c r="J198" s="30" t="str">
        <x:v>Planned — not started</x:v>
      </x:c>
      <x:c r="K198" s="30" t="str">
        <x:v>Industrial equipment page</x:v>
      </x:c>
      <x:c r="L198" s="30" t="str">
        <x:v>Pending URL standard</x:v>
      </x:c>
      <x:c r="M198" s="30" t="str">
        <x:v>EQP.steel_platforms_access_platforms_grating_handrail_and_toe_plate_industrial_platform_components</x:v>
      </x:c>
      <x:c r="N198" s="30" t="str">
        <x:v>Required: labelled equipment diagram</x:v>
      </x:c>
      <x:c r="O198" s="30" t="str">
        <x:v>Per frozen page-format standard</x:v>
      </x:c>
      <x:c r="P198" s="30" t="str">
        <x:v>Fundamental textbooks only — assign before drafting</x:v>
      </x:c>
      <x:c r="Q198" s="30" t="str">
        <x:v>Not started</x:v>
      </x:c>
      <x:c r="R198" s="30" t="str">
        <x:v>Not published</x:v>
      </x:c>
      <x:c r="S198" s="31" t="str">
        <x:v>New knowledge/data page; prepare only after editorial workflow is approved.</x:v>
      </x:c>
    </x:row>
    <x:row r="199" ht="42" customHeight="1">
      <x:c r="A199" s="50" t="str">
        <x:v>ICH-EQP-090</x:v>
      </x:c>
      <x:c r="B199" s="30" t="str">
        <x:v>Knowledge/data page</x:v>
      </x:c>
      <x:c r="C199" s="53" t="str">
        <x:v>Industrial Equipment</x:v>
      </x:c>
      <x:c r="D199" s="30" t="str">
        <x:v>Structural Steel, Supports and Access Equipment</x:v>
      </x:c>
      <x:c r="E199" s="30" t="str">
        <x:v>Duct Supports &gt; Duct Support Frames &gt; Hangers, Clamps and Bracing &gt; Duct Support Components</x:v>
      </x:c>
      <x:c r="F199" s="30" t="str">
        <x:v>—</x:v>
      </x:c>
      <x:c r="G199" s="30" t="str">
        <x:v>Duct Supports &gt; Duct Support Frames &gt; Hangers, Clamps and Bracing &gt; Duct Support Components</x:v>
      </x:c>
      <x:c r="H199" s="30" t="str">
        <x:v>Industrial Equipment &gt; Structural Steel, Supports and Access Equipment &gt; Duct Supports &gt; Duct Support Frames &gt; Hangers, Clamps and Bracing &gt; Duct Support Components</x:v>
      </x:c>
      <x:c r="I199" s="30" t="str">
        <x:v>—</x:v>
      </x:c>
      <x:c r="J199" s="30" t="str">
        <x:v>Planned — not started</x:v>
      </x:c>
      <x:c r="K199" s="30" t="str">
        <x:v>Industrial equipment page</x:v>
      </x:c>
      <x:c r="L199" s="30" t="str">
        <x:v>Pending URL standard</x:v>
      </x:c>
      <x:c r="M199" s="30" t="str">
        <x:v>EQP.duct_supports_duct_support_frames_hangers_clamps_and_bracing_duct_support_components</x:v>
      </x:c>
      <x:c r="N199" s="30" t="str">
        <x:v>Required: labelled equipment diagram</x:v>
      </x:c>
      <x:c r="O199" s="30" t="str">
        <x:v>Per frozen page-format standard</x:v>
      </x:c>
      <x:c r="P199" s="30" t="str">
        <x:v>Fundamental textbooks only — assign before drafting</x:v>
      </x:c>
      <x:c r="Q199" s="30" t="str">
        <x:v>Not started</x:v>
      </x:c>
      <x:c r="R199" s="30" t="str">
        <x:v>Not published</x:v>
      </x:c>
      <x:c r="S199" s="31" t="str">
        <x:v>New knowledge/data page; prepare only after editorial workflow is approved.</x:v>
      </x:c>
    </x:row>
    <x:row r="200" ht="42" customHeight="1">
      <x:c r="A200" s="50" t="str">
        <x:v>ICH-EQP-091</x:v>
      </x:c>
      <x:c r="B200" s="30" t="str">
        <x:v>Knowledge/data page</x:v>
      </x:c>
      <x:c r="C200" s="53" t="str">
        <x:v>Industrial Equipment</x:v>
      </x:c>
      <x:c r="D200" s="30" t="str">
        <x:v>Structural Steel, Supports and Access Equipment</x:v>
      </x:c>
      <x:c r="E200" s="30" t="str">
        <x:v>Access Equipment &gt; Ladders and Stairs &gt; Ladder Cage, Stringer and Handrail &gt; Industrial Ladder and Stair Components</x:v>
      </x:c>
      <x:c r="F200" s="30" t="str">
        <x:v>—</x:v>
      </x:c>
      <x:c r="G200" s="30" t="str">
        <x:v>Access Equipment &gt; Ladders and Stairs &gt; Ladder Cage, Stringer and Handrail &gt; Industrial Ladder and Stair Components</x:v>
      </x:c>
      <x:c r="H200" s="30" t="str">
        <x:v>Industrial Equipment &gt; Structural Steel, Supports and Access Equipment &gt; Access Equipment &gt; Ladders and Stairs &gt; Ladder Cage, Stringer and Handrail &gt; Industrial Ladder and Stair Components</x:v>
      </x:c>
      <x:c r="I200" s="30" t="str">
        <x:v>—</x:v>
      </x:c>
      <x:c r="J200" s="30" t="str">
        <x:v>Planned — not started</x:v>
      </x:c>
      <x:c r="K200" s="30" t="str">
        <x:v>Industrial equipment page</x:v>
      </x:c>
      <x:c r="L200" s="30" t="str">
        <x:v>Pending URL standard</x:v>
      </x:c>
      <x:c r="M200" s="30" t="str">
        <x:v>EQP.access_equipment_ladders_and_stairs_ladder_cage_stringer_and_handrail_industrial_ladder_and_stair_components</x:v>
      </x:c>
      <x:c r="N200" s="30" t="str">
        <x:v>Required: labelled equipment diagram</x:v>
      </x:c>
      <x:c r="O200" s="30" t="str">
        <x:v>Per frozen page-format standard</x:v>
      </x:c>
      <x:c r="P200" s="30" t="str">
        <x:v>Fundamental textbooks only — assign before drafting</x:v>
      </x:c>
      <x:c r="Q200" s="30" t="str">
        <x:v>Not started</x:v>
      </x:c>
      <x:c r="R200" s="30" t="str">
        <x:v>Not published</x:v>
      </x:c>
      <x:c r="S200" s="31" t="str">
        <x:v>New knowledge/data page; prepare only after editorial workflow is approved.</x:v>
      </x:c>
    </x:row>
    <x:row r="201" ht="42" customHeight="1">
      <x:c r="A201" s="50" t="str">
        <x:v>ICH-EQP-092</x:v>
      </x:c>
      <x:c r="B201" s="30" t="str">
        <x:v>Knowledge/data page</x:v>
      </x:c>
      <x:c r="C201" s="53" t="str">
        <x:v>Industrial Equipment</x:v>
      </x:c>
      <x:c r="D201" s="30" t="str">
        <x:v>Water and Wastewater Equipment</x:v>
      </x:c>
      <x:c r="E201" s="30" t="str">
        <x:v>Clarifiers &gt; Circular Clarifier &gt; Bridge, Scraper and Drive &gt; Clarifier Components</x:v>
      </x:c>
      <x:c r="F201" s="30" t="str">
        <x:v>—</x:v>
      </x:c>
      <x:c r="G201" s="30" t="str">
        <x:v>Clarifiers &gt; Circular Clarifier &gt; Bridge, Scraper and Drive &gt; Clarifier Components</x:v>
      </x:c>
      <x:c r="H201" s="30" t="str">
        <x:v>Industrial Equipment &gt; Water and Wastewater Equipment &gt; Clarifiers &gt; Circular Clarifier &gt; Bridge, Scraper and Drive &gt; Clarifier Components</x:v>
      </x:c>
      <x:c r="I201" s="30" t="str">
        <x:v>—</x:v>
      </x:c>
      <x:c r="J201" s="30" t="str">
        <x:v>Planned — not started</x:v>
      </x:c>
      <x:c r="K201" s="30" t="str">
        <x:v>Industrial equipment page</x:v>
      </x:c>
      <x:c r="L201" s="30" t="str">
        <x:v>Pending URL standard</x:v>
      </x:c>
      <x:c r="M201" s="30" t="str">
        <x:v>EQP.clarifiers_circular_clarifier_bridge_scraper_and_drive_clarifier_components</x:v>
      </x:c>
      <x:c r="N201" s="30" t="str">
        <x:v>Required: labelled equipment diagram</x:v>
      </x:c>
      <x:c r="O201" s="30" t="str">
        <x:v>Per frozen page-format standard</x:v>
      </x:c>
      <x:c r="P201" s="30" t="str">
        <x:v>Fundamental textbooks only — assign before drafting</x:v>
      </x:c>
      <x:c r="Q201" s="30" t="str">
        <x:v>Not started</x:v>
      </x:c>
      <x:c r="R201" s="30" t="str">
        <x:v>Not published</x:v>
      </x:c>
      <x:c r="S201" s="31" t="str">
        <x:v>New knowledge/data page; prepare only after editorial workflow is approved.</x:v>
      </x:c>
    </x:row>
    <x:row r="202" ht="42" customHeight="1">
      <x:c r="A202" s="50" t="str">
        <x:v>ICH-EQP-093</x:v>
      </x:c>
      <x:c r="B202" s="30" t="str">
        <x:v>Knowledge/data page</x:v>
      </x:c>
      <x:c r="C202" s="53" t="str">
        <x:v>Industrial Equipment</x:v>
      </x:c>
      <x:c r="D202" s="30" t="str">
        <x:v>Water and Wastewater Equipment</x:v>
      </x:c>
      <x:c r="E202" s="30" t="str">
        <x:v>Filters &gt; Pressure Sand Filter &gt; Vessel, Media and Valves &gt; Pressure Sand Filter Components</x:v>
      </x:c>
      <x:c r="F202" s="30" t="str">
        <x:v>—</x:v>
      </x:c>
      <x:c r="G202" s="30" t="str">
        <x:v>Filters &gt; Pressure Sand Filter &gt; Vessel, Media and Valves &gt; Pressure Sand Filter Components</x:v>
      </x:c>
      <x:c r="H202" s="30" t="str">
        <x:v>Industrial Equipment &gt; Water and Wastewater Equipment &gt; Filters &gt; Pressure Sand Filter &gt; Vessel, Media and Valves &gt; Pressure Sand Filter Components</x:v>
      </x:c>
      <x:c r="I202" s="30" t="str">
        <x:v>—</x:v>
      </x:c>
      <x:c r="J202" s="30" t="str">
        <x:v>Planned — not started</x:v>
      </x:c>
      <x:c r="K202" s="30" t="str">
        <x:v>Industrial equipment page</x:v>
      </x:c>
      <x:c r="L202" s="30" t="str">
        <x:v>Pending URL standard</x:v>
      </x:c>
      <x:c r="M202" s="30" t="str">
        <x:v>EQP.filters_pressure_sand_filter_vessel_media_and_valves_pressure_sand_filter_components</x:v>
      </x:c>
      <x:c r="N202" s="30" t="str">
        <x:v>Required: labelled equipment diagram</x:v>
      </x:c>
      <x:c r="O202" s="30" t="str">
        <x:v>Per frozen page-format standard</x:v>
      </x:c>
      <x:c r="P202" s="30" t="str">
        <x:v>Fundamental textbooks only — assign before drafting</x:v>
      </x:c>
      <x:c r="Q202" s="30" t="str">
        <x:v>Not started</x:v>
      </x:c>
      <x:c r="R202" s="30" t="str">
        <x:v>Not published</x:v>
      </x:c>
      <x:c r="S202" s="31" t="str">
        <x:v>New knowledge/data page; prepare only after editorial workflow is approved.</x:v>
      </x:c>
    </x:row>
    <x:row r="203" ht="42" customHeight="1">
      <x:c r="A203" s="50" t="str">
        <x:v>ICH-EQP-094</x:v>
      </x:c>
      <x:c r="B203" s="30" t="str">
        <x:v>Knowledge/data page</x:v>
      </x:c>
      <x:c r="C203" s="53" t="str">
        <x:v>Industrial Equipment</x:v>
      </x:c>
      <x:c r="D203" s="30" t="str">
        <x:v>Water and Wastewater Equipment</x:v>
      </x:c>
      <x:c r="E203" s="30" t="str">
        <x:v>RO Systems &gt; Reverse Osmosis Unit &gt; Membrane, Pressure Vessel and High-Pressure Pump &gt; RO System Components</x:v>
      </x:c>
      <x:c r="F203" s="30" t="str">
        <x:v>—</x:v>
      </x:c>
      <x:c r="G203" s="30" t="str">
        <x:v>RO Systems &gt; Reverse Osmosis Unit &gt; Membrane, Pressure Vessel and High-Pressure Pump &gt; RO System Components</x:v>
      </x:c>
      <x:c r="H203" s="30" t="str">
        <x:v>Industrial Equipment &gt; Water and Wastewater Equipment &gt; RO Systems &gt; Reverse Osmosis Unit &gt; Membrane, Pressure Vessel and High-Pressure Pump &gt; RO System Components</x:v>
      </x:c>
      <x:c r="I203" s="30" t="str">
        <x:v>—</x:v>
      </x:c>
      <x:c r="J203" s="30" t="str">
        <x:v>Planned — not started</x:v>
      </x:c>
      <x:c r="K203" s="30" t="str">
        <x:v>Industrial equipment page</x:v>
      </x:c>
      <x:c r="L203" s="30" t="str">
        <x:v>Pending URL standard</x:v>
      </x:c>
      <x:c r="M203" s="30" t="str">
        <x:v>EQP.ro_systems_reverse_osmosis_unit_membrane_pressure_vessel_and_high_pressure_pump_ro_system_components</x:v>
      </x:c>
      <x:c r="N203" s="30" t="str">
        <x:v>Required: labelled equipment diagram</x:v>
      </x:c>
      <x:c r="O203" s="30" t="str">
        <x:v>Per frozen page-format standard</x:v>
      </x:c>
      <x:c r="P203" s="30" t="str">
        <x:v>Fundamental textbooks only — assign before drafting</x:v>
      </x:c>
      <x:c r="Q203" s="30" t="str">
        <x:v>Not started</x:v>
      </x:c>
      <x:c r="R203" s="30" t="str">
        <x:v>Not published</x:v>
      </x:c>
      <x:c r="S203" s="31" t="str">
        <x:v>New knowledge/data page; prepare only after editorial workflow is approved.</x:v>
      </x:c>
    </x:row>
    <x:row r="204" ht="42" customHeight="1">
      <x:c r="A204" s="50" t="str">
        <x:v>ICH-EQP-095</x:v>
      </x:c>
      <x:c r="B204" s="30" t="str">
        <x:v>Knowledge/data page</x:v>
      </x:c>
      <x:c r="C204" s="53" t="str">
        <x:v>Industrial Equipment</x:v>
      </x:c>
      <x:c r="D204" s="30" t="str">
        <x:v>Water and Wastewater Equipment</x:v>
      </x:c>
      <x:c r="E204" s="30" t="str">
        <x:v>Sludge Systems &gt; Filter Press &gt; Plates, Cloth and Hydraulic Unit &gt; Filter Press Components</x:v>
      </x:c>
      <x:c r="F204" s="30" t="str">
        <x:v>—</x:v>
      </x:c>
      <x:c r="G204" s="30" t="str">
        <x:v>Sludge Systems &gt; Filter Press &gt; Plates, Cloth and Hydraulic Unit &gt; Filter Press Components</x:v>
      </x:c>
      <x:c r="H204" s="30" t="str">
        <x:v>Industrial Equipment &gt; Water and Wastewater Equipment &gt; Sludge Systems &gt; Filter Press &gt; Plates, Cloth and Hydraulic Unit &gt; Filter Press Components</x:v>
      </x:c>
      <x:c r="I204" s="30" t="str">
        <x:v>—</x:v>
      </x:c>
      <x:c r="J204" s="30" t="str">
        <x:v>Planned — not started</x:v>
      </x:c>
      <x:c r="K204" s="30" t="str">
        <x:v>Industrial equipment page</x:v>
      </x:c>
      <x:c r="L204" s="30" t="str">
        <x:v>Pending URL standard</x:v>
      </x:c>
      <x:c r="M204" s="30" t="str">
        <x:v>EQP.sludge_systems_filter_press_plates_cloth_and_hydraulic_unit_filter_press_components</x:v>
      </x:c>
      <x:c r="N204" s="30" t="str">
        <x:v>Required: labelled equipment diagram</x:v>
      </x:c>
      <x:c r="O204" s="30" t="str">
        <x:v>Per frozen page-format standard</x:v>
      </x:c>
      <x:c r="P204" s="30" t="str">
        <x:v>Fundamental textbooks only — assign before drafting</x:v>
      </x:c>
      <x:c r="Q204" s="30" t="str">
        <x:v>Not started</x:v>
      </x:c>
      <x:c r="R204" s="30" t="str">
        <x:v>Not published</x:v>
      </x:c>
      <x:c r="S204" s="31" t="str">
        <x:v>New knowledge/data page; prepare only after editorial workflow is approved.</x:v>
      </x:c>
    </x:row>
    <x:row r="205" ht="42" customHeight="1">
      <x:c r="A205" s="50" t="str">
        <x:v>ICH-PRC-002</x:v>
      </x:c>
      <x:c r="B205" s="30" t="str">
        <x:v>Knowledge/data page</x:v>
      </x:c>
      <x:c r="C205" s="53" t="str">
        <x:v>Industrial Processes</x:v>
      </x:c>
      <x:c r="D205" s="30" t="str">
        <x:v>Power Generation Processes</x:v>
      </x:c>
      <x:c r="E205" s="30" t="str">
        <x:v>Coal-Fired Thermal Power Plant</x:v>
      </x:c>
      <x:c r="F205" s="30" t="str">
        <x:v>Fuel and Combustion Process</x:v>
      </x:c>
      <x:c r="G205" s="30" t="str">
        <x:v>Coal Handling Process in Thermal Power Plants</x:v>
      </x:c>
      <x:c r="H205" s="30" t="str">
        <x:v>Industrial Processes &gt; Power Generation Processes &gt; Coal-Fired Thermal Power Plant &gt; Fuel and Combustion Process &gt; Coal Handling Process in Thermal Power Plants</x:v>
      </x:c>
      <x:c r="I205" s="30" t="str">
        <x:v>—</x:v>
      </x:c>
      <x:c r="J205" s="30" t="str">
        <x:v>Planned — not started</x:v>
      </x:c>
      <x:c r="K205" s="30" t="str">
        <x:v>Industrial process page</x:v>
      </x:c>
      <x:c r="L205" s="30" t="str">
        <x:v>Pending URL standard</x:v>
      </x:c>
      <x:c r="M205" s="30" t="str">
        <x:v>PRC.coal_handling_process_in_thermal_power_plants</x:v>
      </x:c>
      <x:c r="N205" s="30" t="str">
        <x:v>Required: simplified process-flow diagram</x:v>
      </x:c>
      <x:c r="O205" s="30" t="str">
        <x:v>Per frozen page-format standard</x:v>
      </x:c>
      <x:c r="P205" s="30" t="str">
        <x:v>Fundamental textbooks only — assign before drafting</x:v>
      </x:c>
      <x:c r="Q205" s="30" t="str">
        <x:v>Not started</x:v>
      </x:c>
      <x:c r="R205" s="30" t="str">
        <x:v>Not published</x:v>
      </x:c>
      <x:c r="S205" s="31" t="str">
        <x:v>New knowledge/data page; prepare only after editorial workflow is approved.</x:v>
      </x:c>
    </x:row>
    <x:row r="206" ht="42" customHeight="1">
      <x:c r="A206" s="50" t="str">
        <x:v>ICH-PRC-003</x:v>
      </x:c>
      <x:c r="B206" s="30" t="str">
        <x:v>Knowledge/data page</x:v>
      </x:c>
      <x:c r="C206" s="53" t="str">
        <x:v>Industrial Processes</x:v>
      </x:c>
      <x:c r="D206" s="30" t="str">
        <x:v>Power Generation Processes</x:v>
      </x:c>
      <x:c r="E206" s="30" t="str">
        <x:v>Coal-Fired Thermal Power Plant</x:v>
      </x:c>
      <x:c r="F206" s="30" t="str">
        <x:v>Fuel and Combustion Process</x:v>
      </x:c>
      <x:c r="G206" s="30" t="str">
        <x:v>Coal Milling and Pulverized Fuel Firing Process</x:v>
      </x:c>
      <x:c r="H206" s="30" t="str">
        <x:v>Industrial Processes &gt; Power Generation Processes &gt; Coal-Fired Thermal Power Plant &gt; Fuel and Combustion Process &gt; Coal Milling and Pulverized Fuel Firing Process</x:v>
      </x:c>
      <x:c r="I206" s="30" t="str">
        <x:v>—</x:v>
      </x:c>
      <x:c r="J206" s="30" t="str">
        <x:v>Planned — not started</x:v>
      </x:c>
      <x:c r="K206" s="30" t="str">
        <x:v>Industrial process page</x:v>
      </x:c>
      <x:c r="L206" s="30" t="str">
        <x:v>Pending URL standard</x:v>
      </x:c>
      <x:c r="M206" s="30" t="str">
        <x:v>PRC.coal_milling_and_pulverized_fuel_firing_process</x:v>
      </x:c>
      <x:c r="N206" s="30" t="str">
        <x:v>Required: simplified process-flow diagram</x:v>
      </x:c>
      <x:c r="O206" s="30" t="str">
        <x:v>Per frozen page-format standard</x:v>
      </x:c>
      <x:c r="P206" s="30" t="str">
        <x:v>Fundamental textbooks only — assign before drafting</x:v>
      </x:c>
      <x:c r="Q206" s="30" t="str">
        <x:v>Not started</x:v>
      </x:c>
      <x:c r="R206" s="30" t="str">
        <x:v>Not published</x:v>
      </x:c>
      <x:c r="S206" s="31" t="str">
        <x:v>New knowledge/data page; prepare only after editorial workflow is approved.</x:v>
      </x:c>
    </x:row>
    <x:row r="207" ht="42" customHeight="1">
      <x:c r="A207" s="50" t="str">
        <x:v>ICH-PRC-004</x:v>
      </x:c>
      <x:c r="B207" s="30" t="str">
        <x:v>Knowledge/data page</x:v>
      </x:c>
      <x:c r="C207" s="53" t="str">
        <x:v>Industrial Processes</x:v>
      </x:c>
      <x:c r="D207" s="30" t="str">
        <x:v>Power Generation Processes</x:v>
      </x:c>
      <x:c r="E207" s="30" t="str">
        <x:v>Coal-Fired Thermal Power Plant</x:v>
      </x:c>
      <x:c r="F207" s="30" t="str">
        <x:v>Steam-Water Cycle</x:v>
      </x:c>
      <x:c r="G207" s="30" t="str">
        <x:v>Boiler Steam Generation Process</x:v>
      </x:c>
      <x:c r="H207" s="30" t="str">
        <x:v>Industrial Processes &gt; Power Generation Processes &gt; Coal-Fired Thermal Power Plant &gt; Steam-Water Cycle &gt; Boiler Steam Generation Process</x:v>
      </x:c>
      <x:c r="I207" s="30" t="str">
        <x:v>—</x:v>
      </x:c>
      <x:c r="J207" s="30" t="str">
        <x:v>Planned — not started</x:v>
      </x:c>
      <x:c r="K207" s="30" t="str">
        <x:v>Industrial process page</x:v>
      </x:c>
      <x:c r="L207" s="30" t="str">
        <x:v>Pending URL standard</x:v>
      </x:c>
      <x:c r="M207" s="30" t="str">
        <x:v>PRC.boiler_steam_generation_process</x:v>
      </x:c>
      <x:c r="N207" s="30" t="str">
        <x:v>Required: simplified process-flow diagram</x:v>
      </x:c>
      <x:c r="O207" s="30" t="str">
        <x:v>Per frozen page-format standard</x:v>
      </x:c>
      <x:c r="P207" s="30" t="str">
        <x:v>Fundamental textbooks only — assign before drafting</x:v>
      </x:c>
      <x:c r="Q207" s="30" t="str">
        <x:v>Not started</x:v>
      </x:c>
      <x:c r="R207" s="30" t="str">
        <x:v>Not published</x:v>
      </x:c>
      <x:c r="S207" s="31" t="str">
        <x:v>New knowledge/data page; prepare only after editorial workflow is approved.</x:v>
      </x:c>
    </x:row>
    <x:row r="208" ht="42" customHeight="1">
      <x:c r="A208" s="50" t="str">
        <x:v>ICH-PRC-005</x:v>
      </x:c>
      <x:c r="B208" s="30" t="str">
        <x:v>Knowledge/data page</x:v>
      </x:c>
      <x:c r="C208" s="53" t="str">
        <x:v>Industrial Processes</x:v>
      </x:c>
      <x:c r="D208" s="30" t="str">
        <x:v>Power Generation Processes</x:v>
      </x:c>
      <x:c r="E208" s="30" t="str">
        <x:v>Coal-Fired Thermal Power Plant</x:v>
      </x:c>
      <x:c r="F208" s="30" t="str">
        <x:v>Steam-Water Cycle</x:v>
      </x:c>
      <x:c r="G208" s="30" t="str">
        <x:v>Steam Turbine and Condenser Process</x:v>
      </x:c>
      <x:c r="H208" s="30" t="str">
        <x:v>Industrial Processes &gt; Power Generation Processes &gt; Coal-Fired Thermal Power Plant &gt; Steam-Water Cycle &gt; Steam Turbine and Condenser Process</x:v>
      </x:c>
      <x:c r="I208" s="30" t="str">
        <x:v>—</x:v>
      </x:c>
      <x:c r="J208" s="30" t="str">
        <x:v>Planned — not started</x:v>
      </x:c>
      <x:c r="K208" s="30" t="str">
        <x:v>Industrial process page</x:v>
      </x:c>
      <x:c r="L208" s="30" t="str">
        <x:v>Pending URL standard</x:v>
      </x:c>
      <x:c r="M208" s="30" t="str">
        <x:v>PRC.steam_turbine_and_condenser_process</x:v>
      </x:c>
      <x:c r="N208" s="30" t="str">
        <x:v>Required: simplified process-flow diagram</x:v>
      </x:c>
      <x:c r="O208" s="30" t="str">
        <x:v>Per frozen page-format standard</x:v>
      </x:c>
      <x:c r="P208" s="30" t="str">
        <x:v>Fundamental textbooks only — assign before drafting</x:v>
      </x:c>
      <x:c r="Q208" s="30" t="str">
        <x:v>Not started</x:v>
      </x:c>
      <x:c r="R208" s="30" t="str">
        <x:v>Not published</x:v>
      </x:c>
      <x:c r="S208" s="31" t="str">
        <x:v>New knowledge/data page; prepare only after editorial workflow is approved.</x:v>
      </x:c>
    </x:row>
    <x:row r="209" ht="42" customHeight="1">
      <x:c r="A209" s="50" t="str">
        <x:v>ICH-PRC-006</x:v>
      </x:c>
      <x:c r="B209" s="30" t="str">
        <x:v>Knowledge/data page</x:v>
      </x:c>
      <x:c r="C209" s="53" t="str">
        <x:v>Industrial Processes</x:v>
      </x:c>
      <x:c r="D209" s="30" t="str">
        <x:v>Power Generation Processes</x:v>
      </x:c>
      <x:c r="E209" s="30" t="str">
        <x:v>Coal-Fired Thermal Power Plant</x:v>
      </x:c>
      <x:c r="F209" s="30" t="str">
        <x:v>Flue Gas Cleaning</x:v>
      </x:c>
      <x:c r="G209" s="30" t="str">
        <x:v>ESP Process in Thermal Power Plants</x:v>
      </x:c>
      <x:c r="H209" s="30" t="str">
        <x:v>Industrial Processes &gt; Power Generation Processes &gt; Coal-Fired Thermal Power Plant &gt; Flue Gas Cleaning &gt; ESP Process in Thermal Power Plants</x:v>
      </x:c>
      <x:c r="I209" s="30" t="str">
        <x:v>—</x:v>
      </x:c>
      <x:c r="J209" s="30" t="str">
        <x:v>Planned — not started</x:v>
      </x:c>
      <x:c r="K209" s="30" t="str">
        <x:v>Industrial process page</x:v>
      </x:c>
      <x:c r="L209" s="30" t="str">
        <x:v>Pending URL standard</x:v>
      </x:c>
      <x:c r="M209" s="30" t="str">
        <x:v>PRC.esp_process_in_thermal_power_plants</x:v>
      </x:c>
      <x:c r="N209" s="30" t="str">
        <x:v>Required: simplified process-flow diagram</x:v>
      </x:c>
      <x:c r="O209" s="30" t="str">
        <x:v>Per frozen page-format standard</x:v>
      </x:c>
      <x:c r="P209" s="30" t="str">
        <x:v>Fundamental textbooks only — assign before drafting</x:v>
      </x:c>
      <x:c r="Q209" s="30" t="str">
        <x:v>Not started</x:v>
      </x:c>
      <x:c r="R209" s="30" t="str">
        <x:v>Not published</x:v>
      </x:c>
      <x:c r="S209" s="31" t="str">
        <x:v>New knowledge/data page; prepare only after editorial workflow is approved.</x:v>
      </x:c>
    </x:row>
    <x:row r="210" ht="42" customHeight="1">
      <x:c r="A210" s="50" t="str">
        <x:v>ICH-PRC-007</x:v>
      </x:c>
      <x:c r="B210" s="30" t="str">
        <x:v>Knowledge/data page</x:v>
      </x:c>
      <x:c r="C210" s="53" t="str">
        <x:v>Industrial Processes</x:v>
      </x:c>
      <x:c r="D210" s="30" t="str">
        <x:v>Power Generation Processes</x:v>
      </x:c>
      <x:c r="E210" s="30" t="str">
        <x:v>Coal-Fired Thermal Power Plant</x:v>
      </x:c>
      <x:c r="F210" s="30" t="str">
        <x:v>Flue Gas Cleaning</x:v>
      </x:c>
      <x:c r="G210" s="30" t="str">
        <x:v>FGD Process in Thermal Power Plants</x:v>
      </x:c>
      <x:c r="H210" s="30" t="str">
        <x:v>Industrial Processes &gt; Power Generation Processes &gt; Coal-Fired Thermal Power Plant &gt; Flue Gas Cleaning &gt; FGD Process in Thermal Power Plants</x:v>
      </x:c>
      <x:c r="I210" s="30" t="str">
        <x:v>—</x:v>
      </x:c>
      <x:c r="J210" s="30" t="str">
        <x:v>Planned — not started</x:v>
      </x:c>
      <x:c r="K210" s="30" t="str">
        <x:v>Industrial process page</x:v>
      </x:c>
      <x:c r="L210" s="30" t="str">
        <x:v>Pending URL standard</x:v>
      </x:c>
      <x:c r="M210" s="30" t="str">
        <x:v>PRC.fgd_process_in_thermal_power_plants</x:v>
      </x:c>
      <x:c r="N210" s="30" t="str">
        <x:v>Required: simplified process-flow diagram</x:v>
      </x:c>
      <x:c r="O210" s="30" t="str">
        <x:v>Per frozen page-format standard</x:v>
      </x:c>
      <x:c r="P210" s="30" t="str">
        <x:v>Fundamental textbooks only — assign before drafting</x:v>
      </x:c>
      <x:c r="Q210" s="30" t="str">
        <x:v>Not started</x:v>
      </x:c>
      <x:c r="R210" s="30" t="str">
        <x:v>Not published</x:v>
      </x:c>
      <x:c r="S210" s="31" t="str">
        <x:v>New knowledge/data page; prepare only after editorial workflow is approved.</x:v>
      </x:c>
    </x:row>
    <x:row r="211" ht="42" customHeight="1">
      <x:c r="A211" s="50" t="str">
        <x:v>ICH-PRC-008</x:v>
      </x:c>
      <x:c r="B211" s="30" t="str">
        <x:v>Knowledge/data page</x:v>
      </x:c>
      <x:c r="C211" s="53" t="str">
        <x:v>Industrial Processes</x:v>
      </x:c>
      <x:c r="D211" s="30" t="str">
        <x:v>Power Generation Processes</x:v>
      </x:c>
      <x:c r="E211" s="30" t="str">
        <x:v>Coal-Fired Thermal Power Plant</x:v>
      </x:c>
      <x:c r="F211" s="30" t="str">
        <x:v>Flue Gas Cleaning</x:v>
      </x:c>
      <x:c r="G211" s="30" t="str">
        <x:v>DeNOx Process in Thermal Power Plants</x:v>
      </x:c>
      <x:c r="H211" s="30" t="str">
        <x:v>Industrial Processes &gt; Power Generation Processes &gt; Coal-Fired Thermal Power Plant &gt; Flue Gas Cleaning &gt; DeNOx Process in Thermal Power Plants</x:v>
      </x:c>
      <x:c r="I211" s="30" t="str">
        <x:v>—</x:v>
      </x:c>
      <x:c r="J211" s="30" t="str">
        <x:v>Planned — not started</x:v>
      </x:c>
      <x:c r="K211" s="30" t="str">
        <x:v>Industrial process page</x:v>
      </x:c>
      <x:c r="L211" s="30" t="str">
        <x:v>Pending URL standard</x:v>
      </x:c>
      <x:c r="M211" s="30" t="str">
        <x:v>PRC.denox_process_in_thermal_power_plants</x:v>
      </x:c>
      <x:c r="N211" s="30" t="str">
        <x:v>Required: simplified process-flow diagram</x:v>
      </x:c>
      <x:c r="O211" s="30" t="str">
        <x:v>Per frozen page-format standard</x:v>
      </x:c>
      <x:c r="P211" s="30" t="str">
        <x:v>Fundamental textbooks only — assign before drafting</x:v>
      </x:c>
      <x:c r="Q211" s="30" t="str">
        <x:v>Not started</x:v>
      </x:c>
      <x:c r="R211" s="30" t="str">
        <x:v>Not published</x:v>
      </x:c>
      <x:c r="S211" s="31" t="str">
        <x:v>New knowledge/data page; prepare only after editorial workflow is approved.</x:v>
      </x:c>
    </x:row>
    <x:row r="212" ht="42" customHeight="1">
      <x:c r="A212" s="50" t="str">
        <x:v>ICH-PRC-009</x:v>
      </x:c>
      <x:c r="B212" s="30" t="str">
        <x:v>Knowledge/data page</x:v>
      </x:c>
      <x:c r="C212" s="53" t="str">
        <x:v>Industrial Processes</x:v>
      </x:c>
      <x:c r="D212" s="30" t="str">
        <x:v>Power Generation Processes</x:v>
      </x:c>
      <x:c r="E212" s="30" t="str">
        <x:v>Coal-Fired Thermal Power Plant</x:v>
      </x:c>
      <x:c r="F212" s="30" t="str">
        <x:v>Ash Management</x:v>
      </x:c>
      <x:c r="G212" s="30" t="str">
        <x:v>Bottom Ash Handling Process</x:v>
      </x:c>
      <x:c r="H212" s="30" t="str">
        <x:v>Industrial Processes &gt; Power Generation Processes &gt; Coal-Fired Thermal Power Plant &gt; Ash Management &gt; Bottom Ash Handling Process</x:v>
      </x:c>
      <x:c r="I212" s="30" t="str">
        <x:v>—</x:v>
      </x:c>
      <x:c r="J212" s="30" t="str">
        <x:v>Planned — not started</x:v>
      </x:c>
      <x:c r="K212" s="30" t="str">
        <x:v>Industrial process page</x:v>
      </x:c>
      <x:c r="L212" s="30" t="str">
        <x:v>Pending URL standard</x:v>
      </x:c>
      <x:c r="M212" s="30" t="str">
        <x:v>PRC.bottom_ash_handling_process</x:v>
      </x:c>
      <x:c r="N212" s="30" t="str">
        <x:v>Required: simplified process-flow diagram</x:v>
      </x:c>
      <x:c r="O212" s="30" t="str">
        <x:v>Per frozen page-format standard</x:v>
      </x:c>
      <x:c r="P212" s="30" t="str">
        <x:v>Fundamental textbooks only — assign before drafting</x:v>
      </x:c>
      <x:c r="Q212" s="30" t="str">
        <x:v>Not started</x:v>
      </x:c>
      <x:c r="R212" s="30" t="str">
        <x:v>Not published</x:v>
      </x:c>
      <x:c r="S212" s="31" t="str">
        <x:v>New knowledge/data page; prepare only after editorial workflow is approved.</x:v>
      </x:c>
    </x:row>
    <x:row r="213" ht="42" customHeight="1">
      <x:c r="A213" s="50" t="str">
        <x:v>ICH-PRC-010</x:v>
      </x:c>
      <x:c r="B213" s="30" t="str">
        <x:v>Knowledge/data page</x:v>
      </x:c>
      <x:c r="C213" s="53" t="str">
        <x:v>Industrial Processes</x:v>
      </x:c>
      <x:c r="D213" s="30" t="str">
        <x:v>Power Generation Processes</x:v>
      </x:c>
      <x:c r="E213" s="30" t="str">
        <x:v>Coal-Fired Thermal Power Plant</x:v>
      </x:c>
      <x:c r="F213" s="30" t="str">
        <x:v>Ash Management</x:v>
      </x:c>
      <x:c r="G213" s="30" t="str">
        <x:v>Fly Ash Handling Process</x:v>
      </x:c>
      <x:c r="H213" s="30" t="str">
        <x:v>Industrial Processes &gt; Power Generation Processes &gt; Coal-Fired Thermal Power Plant &gt; Ash Management &gt; Fly Ash Handling Process</x:v>
      </x:c>
      <x:c r="I213" s="30" t="str">
        <x:v>—</x:v>
      </x:c>
      <x:c r="J213" s="30" t="str">
        <x:v>Planned — not started</x:v>
      </x:c>
      <x:c r="K213" s="30" t="str">
        <x:v>Industrial process page</x:v>
      </x:c>
      <x:c r="L213" s="30" t="str">
        <x:v>Pending URL standard</x:v>
      </x:c>
      <x:c r="M213" s="30" t="str">
        <x:v>PRC.fly_ash_handling_process</x:v>
      </x:c>
      <x:c r="N213" s="30" t="str">
        <x:v>Required: simplified process-flow diagram</x:v>
      </x:c>
      <x:c r="O213" s="30" t="str">
        <x:v>Per frozen page-format standard</x:v>
      </x:c>
      <x:c r="P213" s="30" t="str">
        <x:v>Fundamental textbooks only — assign before drafting</x:v>
      </x:c>
      <x:c r="Q213" s="30" t="str">
        <x:v>Not started</x:v>
      </x:c>
      <x:c r="R213" s="30" t="str">
        <x:v>Not published</x:v>
      </x:c>
      <x:c r="S213" s="31" t="str">
        <x:v>New knowledge/data page; prepare only after editorial workflow is approved.</x:v>
      </x:c>
    </x:row>
    <x:row r="214" ht="42" customHeight="1">
      <x:c r="A214" s="50" t="str">
        <x:v>ICH-PRC-011</x:v>
      </x:c>
      <x:c r="B214" s="30" t="str">
        <x:v>Knowledge/data page</x:v>
      </x:c>
      <x:c r="C214" s="53" t="str">
        <x:v>Industrial Processes</x:v>
      </x:c>
      <x:c r="D214" s="30" t="str">
        <x:v>Power Generation Processes</x:v>
      </x:c>
      <x:c r="E214" s="30" t="str">
        <x:v>Combined-Cycle Power Plant</x:v>
      </x:c>
      <x:c r="F214" s="30" t="str">
        <x:v>Gas Turbine Cycle</x:v>
      </x:c>
      <x:c r="G214" s="30" t="str">
        <x:v>Gas Turbine Power Generation Process</x:v>
      </x:c>
      <x:c r="H214" s="30" t="str">
        <x:v>Industrial Processes &gt; Power Generation Processes &gt; Combined-Cycle Power Plant &gt; Gas Turbine Cycle &gt; Gas Turbine Power Generation Process</x:v>
      </x:c>
      <x:c r="I214" s="30" t="str">
        <x:v>—</x:v>
      </x:c>
      <x:c r="J214" s="30" t="str">
        <x:v>Planned — not started</x:v>
      </x:c>
      <x:c r="K214" s="30" t="str">
        <x:v>Industrial process page</x:v>
      </x:c>
      <x:c r="L214" s="30" t="str">
        <x:v>Pending URL standard</x:v>
      </x:c>
      <x:c r="M214" s="30" t="str">
        <x:v>PRC.gas_turbine_power_generation_process</x:v>
      </x:c>
      <x:c r="N214" s="30" t="str">
        <x:v>Required: simplified process-flow diagram</x:v>
      </x:c>
      <x:c r="O214" s="30" t="str">
        <x:v>Per frozen page-format standard</x:v>
      </x:c>
      <x:c r="P214" s="30" t="str">
        <x:v>Fundamental textbooks only — assign before drafting</x:v>
      </x:c>
      <x:c r="Q214" s="30" t="str">
        <x:v>Not started</x:v>
      </x:c>
      <x:c r="R214" s="30" t="str">
        <x:v>Not published</x:v>
      </x:c>
      <x:c r="S214" s="31" t="str">
        <x:v>New knowledge/data page; prepare only after editorial workflow is approved.</x:v>
      </x:c>
    </x:row>
    <x:row r="215" ht="42" customHeight="1">
      <x:c r="A215" s="50" t="str">
        <x:v>ICH-PRC-012</x:v>
      </x:c>
      <x:c r="B215" s="30" t="str">
        <x:v>Knowledge/data page</x:v>
      </x:c>
      <x:c r="C215" s="53" t="str">
        <x:v>Industrial Processes</x:v>
      </x:c>
      <x:c r="D215" s="30" t="str">
        <x:v>Power Generation Processes</x:v>
      </x:c>
      <x:c r="E215" s="30" t="str">
        <x:v>Combined-Cycle Power Plant</x:v>
      </x:c>
      <x:c r="F215" s="30" t="str">
        <x:v>HRSG and Steam Cycle</x:v>
      </x:c>
      <x:c r="G215" s="30" t="str">
        <x:v>Combined-Cycle Power Plant Process Flow</x:v>
      </x:c>
      <x:c r="H215" s="30" t="str">
        <x:v>Industrial Processes &gt; Power Generation Processes &gt; Combined-Cycle Power Plant &gt; HRSG and Steam Cycle &gt; Combined-Cycle Power Plant Process Flow</x:v>
      </x:c>
      <x:c r="I215" s="30" t="str">
        <x:v>—</x:v>
      </x:c>
      <x:c r="J215" s="30" t="str">
        <x:v>Planned — not started</x:v>
      </x:c>
      <x:c r="K215" s="30" t="str">
        <x:v>Industrial process page</x:v>
      </x:c>
      <x:c r="L215" s="30" t="str">
        <x:v>Pending URL standard</x:v>
      </x:c>
      <x:c r="M215" s="30" t="str">
        <x:v>PRC.combined_cycle_power_plant_process_flow</x:v>
      </x:c>
      <x:c r="N215" s="30" t="str">
        <x:v>Required: simplified process-flow diagram</x:v>
      </x:c>
      <x:c r="O215" s="30" t="str">
        <x:v>Per frozen page-format standard</x:v>
      </x:c>
      <x:c r="P215" s="30" t="str">
        <x:v>Fundamental textbooks only — assign before drafting</x:v>
      </x:c>
      <x:c r="Q215" s="30" t="str">
        <x:v>Not started</x:v>
      </x:c>
      <x:c r="R215" s="30" t="str">
        <x:v>Not published</x:v>
      </x:c>
      <x:c r="S215" s="31" t="str">
        <x:v>New knowledge/data page; prepare only after editorial workflow is approved.</x:v>
      </x:c>
    </x:row>
    <x:row r="216" ht="42" customHeight="1">
      <x:c r="A216" s="50" t="str">
        <x:v>ICH-PRC-013</x:v>
      </x:c>
      <x:c r="B216" s="30" t="str">
        <x:v>Knowledge/data page</x:v>
      </x:c>
      <x:c r="C216" s="53" t="str">
        <x:v>Industrial Processes</x:v>
      </x:c>
      <x:c r="D216" s="30" t="str">
        <x:v>Power Generation Processes</x:v>
      </x:c>
      <x:c r="E216" s="30" t="str">
        <x:v>Renewable Power Processes</x:v>
      </x:c>
      <x:c r="F216" s="30" t="str">
        <x:v>Solar PV</x:v>
      </x:c>
      <x:c r="G216" s="30" t="str">
        <x:v>Solar Photovoltaic Power Plant Process Flow</x:v>
      </x:c>
      <x:c r="H216" s="30" t="str">
        <x:v>Industrial Processes &gt; Power Generation Processes &gt; Renewable Power Processes &gt; Solar PV &gt; Solar Photovoltaic Power Plant Process Flow</x:v>
      </x:c>
      <x:c r="I216" s="30" t="str">
        <x:v>—</x:v>
      </x:c>
      <x:c r="J216" s="30" t="str">
        <x:v>Planned — not started</x:v>
      </x:c>
      <x:c r="K216" s="30" t="str">
        <x:v>Industrial process page</x:v>
      </x:c>
      <x:c r="L216" s="30" t="str">
        <x:v>Pending URL standard</x:v>
      </x:c>
      <x:c r="M216" s="30" t="str">
        <x:v>PRC.solar_photovoltaic_power_plant_process_flow</x:v>
      </x:c>
      <x:c r="N216" s="30" t="str">
        <x:v>Required: simplified process-flow diagram</x:v>
      </x:c>
      <x:c r="O216" s="30" t="str">
        <x:v>Per frozen page-format standard</x:v>
      </x:c>
      <x:c r="P216" s="30" t="str">
        <x:v>Fundamental textbooks only — assign before drafting</x:v>
      </x:c>
      <x:c r="Q216" s="30" t="str">
        <x:v>Not started</x:v>
      </x:c>
      <x:c r="R216" s="30" t="str">
        <x:v>Not published</x:v>
      </x:c>
      <x:c r="S216" s="31" t="str">
        <x:v>New knowledge/data page; prepare only after editorial workflow is approved.</x:v>
      </x:c>
    </x:row>
    <x:row r="217" ht="42" customHeight="1">
      <x:c r="A217" s="50" t="str">
        <x:v>ICH-PRC-014</x:v>
      </x:c>
      <x:c r="B217" s="30" t="str">
        <x:v>Knowledge/data page</x:v>
      </x:c>
      <x:c r="C217" s="53" t="str">
        <x:v>Industrial Processes</x:v>
      </x:c>
      <x:c r="D217" s="30" t="str">
        <x:v>Power Generation Processes</x:v>
      </x:c>
      <x:c r="E217" s="30" t="str">
        <x:v>Renewable Power Processes</x:v>
      </x:c>
      <x:c r="F217" s="30" t="str">
        <x:v>Wind</x:v>
      </x:c>
      <x:c r="G217" s="30" t="str">
        <x:v>Wind Power Generation Process Flow</x:v>
      </x:c>
      <x:c r="H217" s="30" t="str">
        <x:v>Industrial Processes &gt; Power Generation Processes &gt; Renewable Power Processes &gt; Wind &gt; Wind Power Generation Process Flow</x:v>
      </x:c>
      <x:c r="I217" s="30" t="str">
        <x:v>—</x:v>
      </x:c>
      <x:c r="J217" s="30" t="str">
        <x:v>Planned — not started</x:v>
      </x:c>
      <x:c r="K217" s="30" t="str">
        <x:v>Industrial process page</x:v>
      </x:c>
      <x:c r="L217" s="30" t="str">
        <x:v>Pending URL standard</x:v>
      </x:c>
      <x:c r="M217" s="30" t="str">
        <x:v>PRC.wind_power_generation_process_flow</x:v>
      </x:c>
      <x:c r="N217" s="30" t="str">
        <x:v>Required: simplified process-flow diagram</x:v>
      </x:c>
      <x:c r="O217" s="30" t="str">
        <x:v>Per frozen page-format standard</x:v>
      </x:c>
      <x:c r="P217" s="30" t="str">
        <x:v>Fundamental textbooks only — assign before drafting</x:v>
      </x:c>
      <x:c r="Q217" s="30" t="str">
        <x:v>Not started</x:v>
      </x:c>
      <x:c r="R217" s="30" t="str">
        <x:v>Not published</x:v>
      </x:c>
      <x:c r="S217" s="31" t="str">
        <x:v>New knowledge/data page; prepare only after editorial workflow is approved.</x:v>
      </x:c>
    </x:row>
    <x:row r="218" ht="42" customHeight="1">
      <x:c r="A218" s="50" t="str">
        <x:v>ICH-PRC-015</x:v>
      </x:c>
      <x:c r="B218" s="30" t="str">
        <x:v>Knowledge/data page</x:v>
      </x:c>
      <x:c r="C218" s="53" t="str">
        <x:v>Industrial Processes</x:v>
      </x:c>
      <x:c r="D218" s="30" t="str">
        <x:v>Power Generation Processes</x:v>
      </x:c>
      <x:c r="E218" s="30" t="str">
        <x:v>Renewable Power Processes</x:v>
      </x:c>
      <x:c r="F218" s="30" t="str">
        <x:v>Biomass and Waste</x:v>
      </x:c>
      <x:c r="G218" s="30" t="str">
        <x:v>Biomass and Waste-to-Energy Power Generation Process</x:v>
      </x:c>
      <x:c r="H218" s="30" t="str">
        <x:v>Industrial Processes &gt; Power Generation Processes &gt; Renewable Power Processes &gt; Biomass and Waste &gt; Biomass and Waste-to-Energy Power Generation Process</x:v>
      </x:c>
      <x:c r="I218" s="30" t="str">
        <x:v>—</x:v>
      </x:c>
      <x:c r="J218" s="30" t="str">
        <x:v>Planned — not started</x:v>
      </x:c>
      <x:c r="K218" s="30" t="str">
        <x:v>Industrial process page</x:v>
      </x:c>
      <x:c r="L218" s="30" t="str">
        <x:v>Pending URL standard</x:v>
      </x:c>
      <x:c r="M218" s="30" t="str">
        <x:v>PRC.biomass_and_waste_to_energy_power_generation_process</x:v>
      </x:c>
      <x:c r="N218" s="30" t="str">
        <x:v>Required: simplified process-flow diagram</x:v>
      </x:c>
      <x:c r="O218" s="30" t="str">
        <x:v>Per frozen page-format standard</x:v>
      </x:c>
      <x:c r="P218" s="30" t="str">
        <x:v>Fundamental textbooks only — assign before drafting</x:v>
      </x:c>
      <x:c r="Q218" s="30" t="str">
        <x:v>Not started</x:v>
      </x:c>
      <x:c r="R218" s="30" t="str">
        <x:v>Not published</x:v>
      </x:c>
      <x:c r="S218" s="31" t="str">
        <x:v>New knowledge/data page; prepare only after editorial workflow is approved.</x:v>
      </x:c>
    </x:row>
    <x:row r="219" ht="42" customHeight="1">
      <x:c r="A219" s="50" t="str">
        <x:v>ICH-PRC-016</x:v>
      </x:c>
      <x:c r="B219" s="30" t="str">
        <x:v>Knowledge/data page</x:v>
      </x:c>
      <x:c r="C219" s="53" t="str">
        <x:v>Industrial Processes</x:v>
      </x:c>
      <x:c r="D219" s="30" t="str">
        <x:v>Power Generation Processes</x:v>
      </x:c>
      <x:c r="E219" s="30" t="str">
        <x:v>Power Plant Utilities</x:v>
      </x:c>
      <x:c r="F219" s="30" t="str">
        <x:v>Water Treatment</x:v>
      </x:c>
      <x:c r="G219" s="30" t="str">
        <x:v>DM Water Process for Power Plants</x:v>
      </x:c>
      <x:c r="H219" s="30" t="str">
        <x:v>Industrial Processes &gt; Power Generation Processes &gt; Power Plant Utilities &gt; Water Treatment &gt; DM Water Process for Power Plants</x:v>
      </x:c>
      <x:c r="I219" s="30" t="str">
        <x:v>—</x:v>
      </x:c>
      <x:c r="J219" s="30" t="str">
        <x:v>Planned — not started</x:v>
      </x:c>
      <x:c r="K219" s="30" t="str">
        <x:v>Industrial process page</x:v>
      </x:c>
      <x:c r="L219" s="30" t="str">
        <x:v>Pending URL standard</x:v>
      </x:c>
      <x:c r="M219" s="30" t="str">
        <x:v>PRC.dm_water_process_for_power_plants</x:v>
      </x:c>
      <x:c r="N219" s="30" t="str">
        <x:v>Required: simplified process-flow diagram</x:v>
      </x:c>
      <x:c r="O219" s="30" t="str">
        <x:v>Per frozen page-format standard</x:v>
      </x:c>
      <x:c r="P219" s="30" t="str">
        <x:v>Fundamental textbooks only — assign before drafting</x:v>
      </x:c>
      <x:c r="Q219" s="30" t="str">
        <x:v>Not started</x:v>
      </x:c>
      <x:c r="R219" s="30" t="str">
        <x:v>Not published</x:v>
      </x:c>
      <x:c r="S219" s="31" t="str">
        <x:v>New knowledge/data page; prepare only after editorial workflow is approved.</x:v>
      </x:c>
    </x:row>
    <x:row r="220" ht="42" customHeight="1">
      <x:c r="A220" s="50" t="str">
        <x:v>ICH-PRC-017</x:v>
      </x:c>
      <x:c r="B220" s="30" t="str">
        <x:v>Knowledge/data page</x:v>
      </x:c>
      <x:c r="C220" s="53" t="str">
        <x:v>Industrial Processes</x:v>
      </x:c>
      <x:c r="D220" s="30" t="str">
        <x:v>Power Generation Processes</x:v>
      </x:c>
      <x:c r="E220" s="30" t="str">
        <x:v>Power Plant Utilities</x:v>
      </x:c>
      <x:c r="F220" s="30" t="str">
        <x:v>Cooling Water</x:v>
      </x:c>
      <x:c r="G220" s="30" t="str">
        <x:v>Cooling Water Cycle in Thermal Power Plants</x:v>
      </x:c>
      <x:c r="H220" s="30" t="str">
        <x:v>Industrial Processes &gt; Power Generation Processes &gt; Power Plant Utilities &gt; Cooling Water &gt; Cooling Water Cycle in Thermal Power Plants</x:v>
      </x:c>
      <x:c r="I220" s="30" t="str">
        <x:v>—</x:v>
      </x:c>
      <x:c r="J220" s="30" t="str">
        <x:v>Planned — not started</x:v>
      </x:c>
      <x:c r="K220" s="30" t="str">
        <x:v>Industrial process page</x:v>
      </x:c>
      <x:c r="L220" s="30" t="str">
        <x:v>Pending URL standard</x:v>
      </x:c>
      <x:c r="M220" s="30" t="str">
        <x:v>PRC.cooling_water_cycle_in_thermal_power_plants</x:v>
      </x:c>
      <x:c r="N220" s="30" t="str">
        <x:v>Required: simplified process-flow diagram</x:v>
      </x:c>
      <x:c r="O220" s="30" t="str">
        <x:v>Per frozen page-format standard</x:v>
      </x:c>
      <x:c r="P220" s="30" t="str">
        <x:v>Fundamental textbooks only — assign before drafting</x:v>
      </x:c>
      <x:c r="Q220" s="30" t="str">
        <x:v>Not started</x:v>
      </x:c>
      <x:c r="R220" s="30" t="str">
        <x:v>Not published</x:v>
      </x:c>
      <x:c r="S220" s="31" t="str">
        <x:v>New knowledge/data page; prepare only after editorial workflow is approved.</x:v>
      </x:c>
    </x:row>
    <x:row r="221" ht="42" customHeight="1">
      <x:c r="A221" s="50" t="str">
        <x:v>ICH-PRC-018</x:v>
      </x:c>
      <x:c r="B221" s="30" t="str">
        <x:v>Knowledge/data page</x:v>
      </x:c>
      <x:c r="C221" s="53" t="str">
        <x:v>Industrial Processes</x:v>
      </x:c>
      <x:c r="D221" s="30" t="str">
        <x:v>Cement Manufacturing Process</x:v>
      </x:c>
      <x:c r="E221" s="30" t="str">
        <x:v>Raw Material Handling</x:v>
      </x:c>
      <x:c r="F221" s="30" t="str">
        <x:v>Limestone Handling</x:v>
      </x:c>
      <x:c r="G221" s="30" t="str">
        <x:v>Limestone Crushing and Conveying Process</x:v>
      </x:c>
      <x:c r="H221" s="30" t="str">
        <x:v>Industrial Processes &gt; Cement Manufacturing Process &gt; Raw Material Handling &gt; Limestone Handling &gt; Limestone Crushing and Conveying Process</x:v>
      </x:c>
      <x:c r="I221" s="30" t="str">
        <x:v>—</x:v>
      </x:c>
      <x:c r="J221" s="30" t="str">
        <x:v>Planned — not started</x:v>
      </x:c>
      <x:c r="K221" s="30" t="str">
        <x:v>Industrial process page</x:v>
      </x:c>
      <x:c r="L221" s="30" t="str">
        <x:v>Pending URL standard</x:v>
      </x:c>
      <x:c r="M221" s="30" t="str">
        <x:v>PRC.limestone_crushing_and_conveying_process</x:v>
      </x:c>
      <x:c r="N221" s="30" t="str">
        <x:v>Required: simplified process-flow diagram</x:v>
      </x:c>
      <x:c r="O221" s="30" t="str">
        <x:v>Per frozen page-format standard</x:v>
      </x:c>
      <x:c r="P221" s="30" t="str">
        <x:v>Fundamental textbooks only — assign before drafting</x:v>
      </x:c>
      <x:c r="Q221" s="30" t="str">
        <x:v>Not started</x:v>
      </x:c>
      <x:c r="R221" s="30" t="str">
        <x:v>Not published</x:v>
      </x:c>
      <x:c r="S221" s="31" t="str">
        <x:v>New knowledge/data page; prepare only after editorial workflow is approved.</x:v>
      </x:c>
    </x:row>
    <x:row r="222" ht="42" customHeight="1">
      <x:c r="A222" s="50" t="str">
        <x:v>ICH-PRC-019</x:v>
      </x:c>
      <x:c r="B222" s="30" t="str">
        <x:v>Knowledge/data page</x:v>
      </x:c>
      <x:c r="C222" s="53" t="str">
        <x:v>Industrial Processes</x:v>
      </x:c>
      <x:c r="D222" s="30" t="str">
        <x:v>Cement Manufacturing Process</x:v>
      </x:c>
      <x:c r="E222" s="30" t="str">
        <x:v>Raw Material Handling</x:v>
      </x:c>
      <x:c r="F222" s="30" t="str">
        <x:v>Raw Meal Preparation</x:v>
      </x:c>
      <x:c r="G222" s="30" t="str">
        <x:v>Raw Mill and Raw Meal Blending Process</x:v>
      </x:c>
      <x:c r="H222" s="30" t="str">
        <x:v>Industrial Processes &gt; Cement Manufacturing Process &gt; Raw Material Handling &gt; Raw Meal Preparation &gt; Raw Mill and Raw Meal Blending Process</x:v>
      </x:c>
      <x:c r="I222" s="30" t="str">
        <x:v>—</x:v>
      </x:c>
      <x:c r="J222" s="30" t="str">
        <x:v>Planned — not started</x:v>
      </x:c>
      <x:c r="K222" s="30" t="str">
        <x:v>Industrial process page</x:v>
      </x:c>
      <x:c r="L222" s="30" t="str">
        <x:v>Pending URL standard</x:v>
      </x:c>
      <x:c r="M222" s="30" t="str">
        <x:v>PRC.raw_mill_and_raw_meal_blending_process</x:v>
      </x:c>
      <x:c r="N222" s="30" t="str">
        <x:v>Required: simplified process-flow diagram</x:v>
      </x:c>
      <x:c r="O222" s="30" t="str">
        <x:v>Per frozen page-format standard</x:v>
      </x:c>
      <x:c r="P222" s="30" t="str">
        <x:v>Fundamental textbooks only — assign before drafting</x:v>
      </x:c>
      <x:c r="Q222" s="30" t="str">
        <x:v>Not started</x:v>
      </x:c>
      <x:c r="R222" s="30" t="str">
        <x:v>Not published</x:v>
      </x:c>
      <x:c r="S222" s="31" t="str">
        <x:v>New knowledge/data page; prepare only after editorial workflow is approved.</x:v>
      </x:c>
    </x:row>
    <x:row r="223" ht="42" customHeight="1">
      <x:c r="A223" s="50" t="str">
        <x:v>ICH-PRC-020</x:v>
      </x:c>
      <x:c r="B223" s="30" t="str">
        <x:v>Knowledge/data page</x:v>
      </x:c>
      <x:c r="C223" s="53" t="str">
        <x:v>Industrial Processes</x:v>
      </x:c>
      <x:c r="D223" s="30" t="str">
        <x:v>Cement Manufacturing Process</x:v>
      </x:c>
      <x:c r="E223" s="30" t="str">
        <x:v>Pyroprocessing</x:v>
      </x:c>
      <x:c r="F223" s="30" t="str">
        <x:v>Preheater and Calciner</x:v>
      </x:c>
      <x:c r="G223" s="30" t="str">
        <x:v>Preheater, Calciner and Rotary Kiln Process</x:v>
      </x:c>
      <x:c r="H223" s="30" t="str">
        <x:v>Industrial Processes &gt; Cement Manufacturing Process &gt; Pyroprocessing &gt; Preheater and Calciner &gt; Preheater, Calciner and Rotary Kiln Process</x:v>
      </x:c>
      <x:c r="I223" s="30" t="str">
        <x:v>—</x:v>
      </x:c>
      <x:c r="J223" s="30" t="str">
        <x:v>Planned — not started</x:v>
      </x:c>
      <x:c r="K223" s="30" t="str">
        <x:v>Industrial process page</x:v>
      </x:c>
      <x:c r="L223" s="30" t="str">
        <x:v>Pending URL standard</x:v>
      </x:c>
      <x:c r="M223" s="30" t="str">
        <x:v>PRC.preheater_calciner_and_rotary_kiln_process</x:v>
      </x:c>
      <x:c r="N223" s="30" t="str">
        <x:v>Required: simplified process-flow diagram</x:v>
      </x:c>
      <x:c r="O223" s="30" t="str">
        <x:v>Per frozen page-format standard</x:v>
      </x:c>
      <x:c r="P223" s="30" t="str">
        <x:v>Fundamental textbooks only — assign before drafting</x:v>
      </x:c>
      <x:c r="Q223" s="30" t="str">
        <x:v>Not started</x:v>
      </x:c>
      <x:c r="R223" s="30" t="str">
        <x:v>Not published</x:v>
      </x:c>
      <x:c r="S223" s="31" t="str">
        <x:v>New knowledge/data page; prepare only after editorial workflow is approved.</x:v>
      </x:c>
    </x:row>
    <x:row r="224" ht="42" customHeight="1">
      <x:c r="A224" s="50" t="str">
        <x:v>ICH-PRC-021</x:v>
      </x:c>
      <x:c r="B224" s="30" t="str">
        <x:v>Knowledge/data page</x:v>
      </x:c>
      <x:c r="C224" s="53" t="str">
        <x:v>Industrial Processes</x:v>
      </x:c>
      <x:c r="D224" s="30" t="str">
        <x:v>Cement Manufacturing Process</x:v>
      </x:c>
      <x:c r="E224" s="30" t="str">
        <x:v>Pyroprocessing</x:v>
      </x:c>
      <x:c r="F224" s="30" t="str">
        <x:v>Clinker Cooling</x:v>
      </x:c>
      <x:c r="G224" s="30" t="str">
        <x:v>Clinker Cooler and Clinker Handling Process</x:v>
      </x:c>
      <x:c r="H224" s="30" t="str">
        <x:v>Industrial Processes &gt; Cement Manufacturing Process &gt; Pyroprocessing &gt; Clinker Cooling &gt; Clinker Cooler and Clinker Handling Process</x:v>
      </x:c>
      <x:c r="I224" s="30" t="str">
        <x:v>—</x:v>
      </x:c>
      <x:c r="J224" s="30" t="str">
        <x:v>Planned — not started</x:v>
      </x:c>
      <x:c r="K224" s="30" t="str">
        <x:v>Industrial process page</x:v>
      </x:c>
      <x:c r="L224" s="30" t="str">
        <x:v>Pending URL standard</x:v>
      </x:c>
      <x:c r="M224" s="30" t="str">
        <x:v>PRC.clinker_cooler_and_clinker_handling_process</x:v>
      </x:c>
      <x:c r="N224" s="30" t="str">
        <x:v>Required: simplified process-flow diagram</x:v>
      </x:c>
      <x:c r="O224" s="30" t="str">
        <x:v>Per frozen page-format standard</x:v>
      </x:c>
      <x:c r="P224" s="30" t="str">
        <x:v>Fundamental textbooks only — assign before drafting</x:v>
      </x:c>
      <x:c r="Q224" s="30" t="str">
        <x:v>Not started</x:v>
      </x:c>
      <x:c r="R224" s="30" t="str">
        <x:v>Not published</x:v>
      </x:c>
      <x:c r="S224" s="31" t="str">
        <x:v>New knowledge/data page; prepare only after editorial workflow is approved.</x:v>
      </x:c>
    </x:row>
    <x:row r="225" ht="42" customHeight="1">
      <x:c r="A225" s="50" t="str">
        <x:v>ICH-PRC-022</x:v>
      </x:c>
      <x:c r="B225" s="30" t="str">
        <x:v>Knowledge/data page</x:v>
      </x:c>
      <x:c r="C225" s="53" t="str">
        <x:v>Industrial Processes</x:v>
      </x:c>
      <x:c r="D225" s="30" t="str">
        <x:v>Cement Manufacturing Process</x:v>
      </x:c>
      <x:c r="E225" s="30" t="str">
        <x:v>Cement Finishing</x:v>
      </x:c>
      <x:c r="F225" s="30" t="str">
        <x:v>Grinding</x:v>
      </x:c>
      <x:c r="G225" s="30" t="str">
        <x:v>Cement Mill and Separator Process</x:v>
      </x:c>
      <x:c r="H225" s="30" t="str">
        <x:v>Industrial Processes &gt; Cement Manufacturing Process &gt; Cement Finishing &gt; Grinding &gt; Cement Mill and Separator Process</x:v>
      </x:c>
      <x:c r="I225" s="30" t="str">
        <x:v>—</x:v>
      </x:c>
      <x:c r="J225" s="30" t="str">
        <x:v>Planned — not started</x:v>
      </x:c>
      <x:c r="K225" s="30" t="str">
        <x:v>Industrial process page</x:v>
      </x:c>
      <x:c r="L225" s="30" t="str">
        <x:v>Pending URL standard</x:v>
      </x:c>
      <x:c r="M225" s="30" t="str">
        <x:v>PRC.cement_mill_and_separator_process</x:v>
      </x:c>
      <x:c r="N225" s="30" t="str">
        <x:v>Required: simplified process-flow diagram</x:v>
      </x:c>
      <x:c r="O225" s="30" t="str">
        <x:v>Per frozen page-format standard</x:v>
      </x:c>
      <x:c r="P225" s="30" t="str">
        <x:v>Fundamental textbooks only — assign before drafting</x:v>
      </x:c>
      <x:c r="Q225" s="30" t="str">
        <x:v>Not started</x:v>
      </x:c>
      <x:c r="R225" s="30" t="str">
        <x:v>Not published</x:v>
      </x:c>
      <x:c r="S225" s="31" t="str">
        <x:v>New knowledge/data page; prepare only after editorial workflow is approved.</x:v>
      </x:c>
    </x:row>
    <x:row r="226" ht="42" customHeight="1">
      <x:c r="A226" s="50" t="str">
        <x:v>ICH-PRC-023</x:v>
      </x:c>
      <x:c r="B226" s="30" t="str">
        <x:v>Knowledge/data page</x:v>
      </x:c>
      <x:c r="C226" s="53" t="str">
        <x:v>Industrial Processes</x:v>
      </x:c>
      <x:c r="D226" s="30" t="str">
        <x:v>Cement Manufacturing Process</x:v>
      </x:c>
      <x:c r="E226" s="30" t="str">
        <x:v>Cement Finishing</x:v>
      </x:c>
      <x:c r="F226" s="30" t="str">
        <x:v>Packing</x:v>
      </x:c>
      <x:c r="G226" s="30" t="str">
        <x:v>Cement Packing and Dispatch Process</x:v>
      </x:c>
      <x:c r="H226" s="30" t="str">
        <x:v>Industrial Processes &gt; Cement Manufacturing Process &gt; Cement Finishing &gt; Packing &gt; Cement Packing and Dispatch Process</x:v>
      </x:c>
      <x:c r="I226" s="30" t="str">
        <x:v>—</x:v>
      </x:c>
      <x:c r="J226" s="30" t="str">
        <x:v>Planned — not started</x:v>
      </x:c>
      <x:c r="K226" s="30" t="str">
        <x:v>Industrial process page</x:v>
      </x:c>
      <x:c r="L226" s="30" t="str">
        <x:v>Pending URL standard</x:v>
      </x:c>
      <x:c r="M226" s="30" t="str">
        <x:v>PRC.cement_packing_and_dispatch_process</x:v>
      </x:c>
      <x:c r="N226" s="30" t="str">
        <x:v>Required: simplified process-flow diagram</x:v>
      </x:c>
      <x:c r="O226" s="30" t="str">
        <x:v>Per frozen page-format standard</x:v>
      </x:c>
      <x:c r="P226" s="30" t="str">
        <x:v>Fundamental textbooks only — assign before drafting</x:v>
      </x:c>
      <x:c r="Q226" s="30" t="str">
        <x:v>Not started</x:v>
      </x:c>
      <x:c r="R226" s="30" t="str">
        <x:v>Not published</x:v>
      </x:c>
      <x:c r="S226" s="31" t="str">
        <x:v>New knowledge/data page; prepare only after editorial workflow is approved.</x:v>
      </x:c>
    </x:row>
    <x:row r="227" ht="42" customHeight="1">
      <x:c r="A227" s="50" t="str">
        <x:v>ICH-PRC-024</x:v>
      </x:c>
      <x:c r="B227" s="30" t="str">
        <x:v>Knowledge/data page</x:v>
      </x:c>
      <x:c r="C227" s="53" t="str">
        <x:v>Industrial Processes</x:v>
      </x:c>
      <x:c r="D227" s="30" t="str">
        <x:v>Cement Manufacturing Process</x:v>
      </x:c>
      <x:c r="E227" s="30" t="str">
        <x:v>Environmental Systems</x:v>
      </x:c>
      <x:c r="F227" s="30" t="str">
        <x:v>Dust Collection</x:v>
      </x:c>
      <x:c r="G227" s="30" t="str">
        <x:v>Bag Filter Process in Cement Plants</x:v>
      </x:c>
      <x:c r="H227" s="30" t="str">
        <x:v>Industrial Processes &gt; Cement Manufacturing Process &gt; Environmental Systems &gt; Dust Collection &gt; Bag Filter Process in Cement Plants</x:v>
      </x:c>
      <x:c r="I227" s="30" t="str">
        <x:v>—</x:v>
      </x:c>
      <x:c r="J227" s="30" t="str">
        <x:v>Planned — not started</x:v>
      </x:c>
      <x:c r="K227" s="30" t="str">
        <x:v>Industrial process page</x:v>
      </x:c>
      <x:c r="L227" s="30" t="str">
        <x:v>Pending URL standard</x:v>
      </x:c>
      <x:c r="M227" s="30" t="str">
        <x:v>PRC.bag_filter_process_in_cement_plants</x:v>
      </x:c>
      <x:c r="N227" s="30" t="str">
        <x:v>Required: simplified process-flow diagram</x:v>
      </x:c>
      <x:c r="O227" s="30" t="str">
        <x:v>Per frozen page-format standard</x:v>
      </x:c>
      <x:c r="P227" s="30" t="str">
        <x:v>Fundamental textbooks only — assign before drafting</x:v>
      </x:c>
      <x:c r="Q227" s="30" t="str">
        <x:v>Not started</x:v>
      </x:c>
      <x:c r="R227" s="30" t="str">
        <x:v>Not published</x:v>
      </x:c>
      <x:c r="S227" s="31" t="str">
        <x:v>New knowledge/data page; prepare only after editorial workflow is approved.</x:v>
      </x:c>
    </x:row>
    <x:row r="228" ht="42" customHeight="1">
      <x:c r="A228" s="50" t="str">
        <x:v>ICH-PRC-025</x:v>
      </x:c>
      <x:c r="B228" s="30" t="str">
        <x:v>Knowledge/data page</x:v>
      </x:c>
      <x:c r="C228" s="53" t="str">
        <x:v>Industrial Processes</x:v>
      </x:c>
      <x:c r="D228" s="30" t="str">
        <x:v>Cement Manufacturing Process</x:v>
      </x:c>
      <x:c r="E228" s="30" t="str">
        <x:v>Environmental Systems</x:v>
      </x:c>
      <x:c r="F228" s="30" t="str">
        <x:v>Material Transfer</x:v>
      </x:c>
      <x:c r="G228" s="30" t="str">
        <x:v>Dust Control at Cement Transfer Points</x:v>
      </x:c>
      <x:c r="H228" s="30" t="str">
        <x:v>Industrial Processes &gt; Cement Manufacturing Process &gt; Environmental Systems &gt; Material Transfer &gt; Dust Control at Cement Transfer Points</x:v>
      </x:c>
      <x:c r="I228" s="30" t="str">
        <x:v>—</x:v>
      </x:c>
      <x:c r="J228" s="30" t="str">
        <x:v>Planned — not started</x:v>
      </x:c>
      <x:c r="K228" s="30" t="str">
        <x:v>Industrial process page</x:v>
      </x:c>
      <x:c r="L228" s="30" t="str">
        <x:v>Pending URL standard</x:v>
      </x:c>
      <x:c r="M228" s="30" t="str">
        <x:v>PRC.dust_control_at_cement_transfer_points</x:v>
      </x:c>
      <x:c r="N228" s="30" t="str">
        <x:v>Required: simplified process-flow diagram</x:v>
      </x:c>
      <x:c r="O228" s="30" t="str">
        <x:v>Per frozen page-format standard</x:v>
      </x:c>
      <x:c r="P228" s="30" t="str">
        <x:v>Fundamental textbooks only — assign before drafting</x:v>
      </x:c>
      <x:c r="Q228" s="30" t="str">
        <x:v>Not started</x:v>
      </x:c>
      <x:c r="R228" s="30" t="str">
        <x:v>Not published</x:v>
      </x:c>
      <x:c r="S228" s="31" t="str">
        <x:v>New knowledge/data page; prepare only after editorial workflow is approved.</x:v>
      </x:c>
    </x:row>
    <x:row r="229" ht="42" customHeight="1">
      <x:c r="A229" s="50" t="str">
        <x:v>ICH-PRC-026</x:v>
      </x:c>
      <x:c r="B229" s="30" t="str">
        <x:v>Knowledge/data page</x:v>
      </x:c>
      <x:c r="C229" s="53" t="str">
        <x:v>Industrial Processes</x:v>
      </x:c>
      <x:c r="D229" s="30" t="str">
        <x:v>Steel Manufacturing Process</x:v>
      </x:c>
      <x:c r="E229" s="30" t="str">
        <x:v>Ironmaking</x:v>
      </x:c>
      <x:c r="F229" s="30" t="str">
        <x:v>Raw Material Preparation</x:v>
      </x:c>
      <x:c r="G229" s="30" t="str">
        <x:v>Sinter Plant Process Flow</x:v>
      </x:c>
      <x:c r="H229" s="30" t="str">
        <x:v>Industrial Processes &gt; Steel Manufacturing Process &gt; Ironmaking &gt; Raw Material Preparation &gt; Sinter Plant Process Flow</x:v>
      </x:c>
      <x:c r="I229" s="30" t="str">
        <x:v>—</x:v>
      </x:c>
      <x:c r="J229" s="30" t="str">
        <x:v>Planned — not started</x:v>
      </x:c>
      <x:c r="K229" s="30" t="str">
        <x:v>Industrial process page</x:v>
      </x:c>
      <x:c r="L229" s="30" t="str">
        <x:v>Pending URL standard</x:v>
      </x:c>
      <x:c r="M229" s="30" t="str">
        <x:v>PRC.sinter_plant_process_flow</x:v>
      </x:c>
      <x:c r="N229" s="30" t="str">
        <x:v>Required: simplified process-flow diagram</x:v>
      </x:c>
      <x:c r="O229" s="30" t="str">
        <x:v>Per frozen page-format standard</x:v>
      </x:c>
      <x:c r="P229" s="30" t="str">
        <x:v>Fundamental textbooks only — assign before drafting</x:v>
      </x:c>
      <x:c r="Q229" s="30" t="str">
        <x:v>Not started</x:v>
      </x:c>
      <x:c r="R229" s="30" t="str">
        <x:v>Not published</x:v>
      </x:c>
      <x:c r="S229" s="31" t="str">
        <x:v>New knowledge/data page; prepare only after editorial workflow is approved.</x:v>
      </x:c>
    </x:row>
    <x:row r="230" ht="42" customHeight="1">
      <x:c r="A230" s="50" t="str">
        <x:v>ICH-PRC-027</x:v>
      </x:c>
      <x:c r="B230" s="30" t="str">
        <x:v>Knowledge/data page</x:v>
      </x:c>
      <x:c r="C230" s="53" t="str">
        <x:v>Industrial Processes</x:v>
      </x:c>
      <x:c r="D230" s="30" t="str">
        <x:v>Steel Manufacturing Process</x:v>
      </x:c>
      <x:c r="E230" s="30" t="str">
        <x:v>Ironmaking</x:v>
      </x:c>
      <x:c r="F230" s="30" t="str">
        <x:v>Blast Furnace</x:v>
      </x:c>
      <x:c r="G230" s="30" t="str">
        <x:v>Blast Furnace Ironmaking Process</x:v>
      </x:c>
      <x:c r="H230" s="30" t="str">
        <x:v>Industrial Processes &gt; Steel Manufacturing Process &gt; Ironmaking &gt; Blast Furnace &gt; Blast Furnace Ironmaking Process</x:v>
      </x:c>
      <x:c r="I230" s="30" t="str">
        <x:v>—</x:v>
      </x:c>
      <x:c r="J230" s="30" t="str">
        <x:v>Planned — not started</x:v>
      </x:c>
      <x:c r="K230" s="30" t="str">
        <x:v>Industrial process page</x:v>
      </x:c>
      <x:c r="L230" s="30" t="str">
        <x:v>Pending URL standard</x:v>
      </x:c>
      <x:c r="M230" s="30" t="str">
        <x:v>PRC.blast_furnace_ironmaking_process</x:v>
      </x:c>
      <x:c r="N230" s="30" t="str">
        <x:v>Required: simplified process-flow diagram</x:v>
      </x:c>
      <x:c r="O230" s="30" t="str">
        <x:v>Per frozen page-format standard</x:v>
      </x:c>
      <x:c r="P230" s="30" t="str">
        <x:v>Fundamental textbooks only — assign before drafting</x:v>
      </x:c>
      <x:c r="Q230" s="30" t="str">
        <x:v>Not started</x:v>
      </x:c>
      <x:c r="R230" s="30" t="str">
        <x:v>Not published</x:v>
      </x:c>
      <x:c r="S230" s="31" t="str">
        <x:v>New knowledge/data page; prepare only after editorial workflow is approved.</x:v>
      </x:c>
    </x:row>
    <x:row r="231" ht="42" customHeight="1">
      <x:c r="A231" s="50" t="str">
        <x:v>ICH-PRC-028</x:v>
      </x:c>
      <x:c r="B231" s="30" t="str">
        <x:v>Knowledge/data page</x:v>
      </x:c>
      <x:c r="C231" s="53" t="str">
        <x:v>Industrial Processes</x:v>
      </x:c>
      <x:c r="D231" s="30" t="str">
        <x:v>Steel Manufacturing Process</x:v>
      </x:c>
      <x:c r="E231" s="30" t="str">
        <x:v>Steelmaking</x:v>
      </x:c>
      <x:c r="F231" s="30" t="str">
        <x:v>Basic Oxygen Furnace</x:v>
      </x:c>
      <x:c r="G231" s="30" t="str">
        <x:v>Basic Oxygen Furnace Steelmaking Process</x:v>
      </x:c>
      <x:c r="H231" s="30" t="str">
        <x:v>Industrial Processes &gt; Steel Manufacturing Process &gt; Steelmaking &gt; Basic Oxygen Furnace &gt; Basic Oxygen Furnace Steelmaking Process</x:v>
      </x:c>
      <x:c r="I231" s="30" t="str">
        <x:v>—</x:v>
      </x:c>
      <x:c r="J231" s="30" t="str">
        <x:v>Planned — not started</x:v>
      </x:c>
      <x:c r="K231" s="30" t="str">
        <x:v>Industrial process page</x:v>
      </x:c>
      <x:c r="L231" s="30" t="str">
        <x:v>Pending URL standard</x:v>
      </x:c>
      <x:c r="M231" s="30" t="str">
        <x:v>PRC.basic_oxygen_furnace_steelmaking_process</x:v>
      </x:c>
      <x:c r="N231" s="30" t="str">
        <x:v>Required: simplified process-flow diagram</x:v>
      </x:c>
      <x:c r="O231" s="30" t="str">
        <x:v>Per frozen page-format standard</x:v>
      </x:c>
      <x:c r="P231" s="30" t="str">
        <x:v>Fundamental textbooks only — assign before drafting</x:v>
      </x:c>
      <x:c r="Q231" s="30" t="str">
        <x:v>Not started</x:v>
      </x:c>
      <x:c r="R231" s="30" t="str">
        <x:v>Not published</x:v>
      </x:c>
      <x:c r="S231" s="31" t="str">
        <x:v>New knowledge/data page; prepare only after editorial workflow is approved.</x:v>
      </x:c>
    </x:row>
    <x:row r="232" ht="42" customHeight="1">
      <x:c r="A232" s="50" t="str">
        <x:v>ICH-PRC-029</x:v>
      </x:c>
      <x:c r="B232" s="30" t="str">
        <x:v>Knowledge/data page</x:v>
      </x:c>
      <x:c r="C232" s="53" t="str">
        <x:v>Industrial Processes</x:v>
      </x:c>
      <x:c r="D232" s="30" t="str">
        <x:v>Steel Manufacturing Process</x:v>
      </x:c>
      <x:c r="E232" s="30" t="str">
        <x:v>Steelmaking</x:v>
      </x:c>
      <x:c r="F232" s="30" t="str">
        <x:v>Electric Arc Furnace</x:v>
      </x:c>
      <x:c r="G232" s="30" t="str">
        <x:v>Electric Arc Furnace Steelmaking Process</x:v>
      </x:c>
      <x:c r="H232" s="30" t="str">
        <x:v>Industrial Processes &gt; Steel Manufacturing Process &gt; Steelmaking &gt; Electric Arc Furnace &gt; Electric Arc Furnace Steelmaking Process</x:v>
      </x:c>
      <x:c r="I232" s="30" t="str">
        <x:v>—</x:v>
      </x:c>
      <x:c r="J232" s="30" t="str">
        <x:v>Planned — not started</x:v>
      </x:c>
      <x:c r="K232" s="30" t="str">
        <x:v>Industrial process page</x:v>
      </x:c>
      <x:c r="L232" s="30" t="str">
        <x:v>Pending URL standard</x:v>
      </x:c>
      <x:c r="M232" s="30" t="str">
        <x:v>PRC.electric_arc_furnace_steelmaking_process</x:v>
      </x:c>
      <x:c r="N232" s="30" t="str">
        <x:v>Required: simplified process-flow diagram</x:v>
      </x:c>
      <x:c r="O232" s="30" t="str">
        <x:v>Per frozen page-format standard</x:v>
      </x:c>
      <x:c r="P232" s="30" t="str">
        <x:v>Fundamental textbooks only — assign before drafting</x:v>
      </x:c>
      <x:c r="Q232" s="30" t="str">
        <x:v>Not started</x:v>
      </x:c>
      <x:c r="R232" s="30" t="str">
        <x:v>Not published</x:v>
      </x:c>
      <x:c r="S232" s="31" t="str">
        <x:v>New knowledge/data page; prepare only after editorial workflow is approved.</x:v>
      </x:c>
    </x:row>
    <x:row r="233" ht="42" customHeight="1">
      <x:c r="A233" s="50" t="str">
        <x:v>ICH-PRC-030</x:v>
      </x:c>
      <x:c r="B233" s="30" t="str">
        <x:v>Knowledge/data page</x:v>
      </x:c>
      <x:c r="C233" s="53" t="str">
        <x:v>Industrial Processes</x:v>
      </x:c>
      <x:c r="D233" s="30" t="str">
        <x:v>Steel Manufacturing Process</x:v>
      </x:c>
      <x:c r="E233" s="30" t="str">
        <x:v>Casting and Rolling</x:v>
      </x:c>
      <x:c r="F233" s="30" t="str">
        <x:v>Continuous Casting</x:v>
      </x:c>
      <x:c r="G233" s="30" t="str">
        <x:v>Continuous Casting Process</x:v>
      </x:c>
      <x:c r="H233" s="30" t="str">
        <x:v>Industrial Processes &gt; Steel Manufacturing Process &gt; Casting and Rolling &gt; Continuous Casting &gt; Continuous Casting Process</x:v>
      </x:c>
      <x:c r="I233" s="30" t="str">
        <x:v>—</x:v>
      </x:c>
      <x:c r="J233" s="30" t="str">
        <x:v>Planned — not started</x:v>
      </x:c>
      <x:c r="K233" s="30" t="str">
        <x:v>Industrial process page</x:v>
      </x:c>
      <x:c r="L233" s="30" t="str">
        <x:v>Pending URL standard</x:v>
      </x:c>
      <x:c r="M233" s="30" t="str">
        <x:v>PRC.continuous_casting_process</x:v>
      </x:c>
      <x:c r="N233" s="30" t="str">
        <x:v>Required: simplified process-flow diagram</x:v>
      </x:c>
      <x:c r="O233" s="30" t="str">
        <x:v>Per frozen page-format standard</x:v>
      </x:c>
      <x:c r="P233" s="30" t="str">
        <x:v>Fundamental textbooks only — assign before drafting</x:v>
      </x:c>
      <x:c r="Q233" s="30" t="str">
        <x:v>Not started</x:v>
      </x:c>
      <x:c r="R233" s="30" t="str">
        <x:v>Not published</x:v>
      </x:c>
      <x:c r="S233" s="31" t="str">
        <x:v>New knowledge/data page; prepare only after editorial workflow is approved.</x:v>
      </x:c>
    </x:row>
    <x:row r="234" ht="42" customHeight="1">
      <x:c r="A234" s="50" t="str">
        <x:v>ICH-PRC-031</x:v>
      </x:c>
      <x:c r="B234" s="30" t="str">
        <x:v>Knowledge/data page</x:v>
      </x:c>
      <x:c r="C234" s="53" t="str">
        <x:v>Industrial Processes</x:v>
      </x:c>
      <x:c r="D234" s="30" t="str">
        <x:v>Steel Manufacturing Process</x:v>
      </x:c>
      <x:c r="E234" s="30" t="str">
        <x:v>Casting and Rolling</x:v>
      </x:c>
      <x:c r="F234" s="30" t="str">
        <x:v>Rolling</x:v>
      </x:c>
      <x:c r="G234" s="30" t="str">
        <x:v>Hot Rolling Mill Process</x:v>
      </x:c>
      <x:c r="H234" s="30" t="str">
        <x:v>Industrial Processes &gt; Steel Manufacturing Process &gt; Casting and Rolling &gt; Rolling &gt; Hot Rolling Mill Process</x:v>
      </x:c>
      <x:c r="I234" s="30" t="str">
        <x:v>—</x:v>
      </x:c>
      <x:c r="J234" s="30" t="str">
        <x:v>Planned — not started</x:v>
      </x:c>
      <x:c r="K234" s="30" t="str">
        <x:v>Industrial process page</x:v>
      </x:c>
      <x:c r="L234" s="30" t="str">
        <x:v>Pending URL standard</x:v>
      </x:c>
      <x:c r="M234" s="30" t="str">
        <x:v>PRC.hot_rolling_mill_process</x:v>
      </x:c>
      <x:c r="N234" s="30" t="str">
        <x:v>Required: simplified process-flow diagram</x:v>
      </x:c>
      <x:c r="O234" s="30" t="str">
        <x:v>Per frozen page-format standard</x:v>
      </x:c>
      <x:c r="P234" s="30" t="str">
        <x:v>Fundamental textbooks only — assign before drafting</x:v>
      </x:c>
      <x:c r="Q234" s="30" t="str">
        <x:v>Not started</x:v>
      </x:c>
      <x:c r="R234" s="30" t="str">
        <x:v>Not published</x:v>
      </x:c>
      <x:c r="S234" s="31" t="str">
        <x:v>New knowledge/data page; prepare only after editorial workflow is approved.</x:v>
      </x:c>
    </x:row>
    <x:row r="235" ht="42" customHeight="1">
      <x:c r="A235" s="50" t="str">
        <x:v>ICH-PRC-032</x:v>
      </x:c>
      <x:c r="B235" s="30" t="str">
        <x:v>Knowledge/data page</x:v>
      </x:c>
      <x:c r="C235" s="53" t="str">
        <x:v>Industrial Processes</x:v>
      </x:c>
      <x:c r="D235" s="30" t="str">
        <x:v>Steel Manufacturing Process</x:v>
      </x:c>
      <x:c r="E235" s="30" t="str">
        <x:v>Environmental and Utility Systems</x:v>
      </x:c>
      <x:c r="F235" s="30" t="str">
        <x:v>Gas Cleaning</x:v>
      </x:c>
      <x:c r="G235" s="30" t="str">
        <x:v>Steel Plant Gas Cleaning Process</x:v>
      </x:c>
      <x:c r="H235" s="30" t="str">
        <x:v>Industrial Processes &gt; Steel Manufacturing Process &gt; Environmental and Utility Systems &gt; Gas Cleaning &gt; Steel Plant Gas Cleaning Process</x:v>
      </x:c>
      <x:c r="I235" s="30" t="str">
        <x:v>—</x:v>
      </x:c>
      <x:c r="J235" s="30" t="str">
        <x:v>Planned — not started</x:v>
      </x:c>
      <x:c r="K235" s="30" t="str">
        <x:v>Industrial process page</x:v>
      </x:c>
      <x:c r="L235" s="30" t="str">
        <x:v>Pending URL standard</x:v>
      </x:c>
      <x:c r="M235" s="30" t="str">
        <x:v>PRC.steel_plant_gas_cleaning_process</x:v>
      </x:c>
      <x:c r="N235" s="30" t="str">
        <x:v>Required: simplified process-flow diagram</x:v>
      </x:c>
      <x:c r="O235" s="30" t="str">
        <x:v>Per frozen page-format standard</x:v>
      </x:c>
      <x:c r="P235" s="30" t="str">
        <x:v>Fundamental textbooks only — assign before drafting</x:v>
      </x:c>
      <x:c r="Q235" s="30" t="str">
        <x:v>Not started</x:v>
      </x:c>
      <x:c r="R235" s="30" t="str">
        <x:v>Not published</x:v>
      </x:c>
      <x:c r="S235" s="31" t="str">
        <x:v>New knowledge/data page; prepare only after editorial workflow is approved.</x:v>
      </x:c>
    </x:row>
    <x:row r="236" ht="42" customHeight="1">
      <x:c r="A236" s="50" t="str">
        <x:v>ICH-PRC-033</x:v>
      </x:c>
      <x:c r="B236" s="30" t="str">
        <x:v>Knowledge/data page</x:v>
      </x:c>
      <x:c r="C236" s="53" t="str">
        <x:v>Industrial Processes</x:v>
      </x:c>
      <x:c r="D236" s="30" t="str">
        <x:v>Steel Manufacturing Process</x:v>
      </x:c>
      <x:c r="E236" s="30" t="str">
        <x:v>Environmental and Utility Systems</x:v>
      </x:c>
      <x:c r="F236" s="30" t="str">
        <x:v>Water Systems</x:v>
      </x:c>
      <x:c r="G236" s="30" t="str">
        <x:v>Water Recirculation Process in Steel Plants</x:v>
      </x:c>
      <x:c r="H236" s="30" t="str">
        <x:v>Industrial Processes &gt; Steel Manufacturing Process &gt; Environmental and Utility Systems &gt; Water Systems &gt; Water Recirculation Process in Steel Plants</x:v>
      </x:c>
      <x:c r="I236" s="30" t="str">
        <x:v>—</x:v>
      </x:c>
      <x:c r="J236" s="30" t="str">
        <x:v>Planned — not started</x:v>
      </x:c>
      <x:c r="K236" s="30" t="str">
        <x:v>Industrial process page</x:v>
      </x:c>
      <x:c r="L236" s="30" t="str">
        <x:v>Pending URL standard</x:v>
      </x:c>
      <x:c r="M236" s="30" t="str">
        <x:v>PRC.water_recirculation_process_in_steel_plants</x:v>
      </x:c>
      <x:c r="N236" s="30" t="str">
        <x:v>Required: simplified process-flow diagram</x:v>
      </x:c>
      <x:c r="O236" s="30" t="str">
        <x:v>Per frozen page-format standard</x:v>
      </x:c>
      <x:c r="P236" s="30" t="str">
        <x:v>Fundamental textbooks only — assign before drafting</x:v>
      </x:c>
      <x:c r="Q236" s="30" t="str">
        <x:v>Not started</x:v>
      </x:c>
      <x:c r="R236" s="30" t="str">
        <x:v>Not published</x:v>
      </x:c>
      <x:c r="S236" s="31" t="str">
        <x:v>New knowledge/data page; prepare only after editorial workflow is approved.</x:v>
      </x:c>
    </x:row>
    <x:row r="237" ht="42" customHeight="1">
      <x:c r="A237" s="50" t="str">
        <x:v>ICH-PRC-034</x:v>
      </x:c>
      <x:c r="B237" s="30" t="str">
        <x:v>Knowledge/data page</x:v>
      </x:c>
      <x:c r="C237" s="53" t="str">
        <x:v>Industrial Processes</x:v>
      </x:c>
      <x:c r="D237" s="30" t="str">
        <x:v>Chemical and Petrochemical Processes</x:v>
      </x:c>
      <x:c r="E237" s="30" t="str">
        <x:v>Feed and Storage Systems</x:v>
      </x:c>
      <x:c r="F237" s="30" t="str">
        <x:v>Liquid Storage</x:v>
      </x:c>
      <x:c r="G237" s="30" t="str">
        <x:v>Chemical Storage and Transfer Process</x:v>
      </x:c>
      <x:c r="H237" s="30" t="str">
        <x:v>Industrial Processes &gt; Chemical and Petrochemical Processes &gt; Feed and Storage Systems &gt; Liquid Storage &gt; Chemical Storage and Transfer Process</x:v>
      </x:c>
      <x:c r="I237" s="30" t="str">
        <x:v>—</x:v>
      </x:c>
      <x:c r="J237" s="30" t="str">
        <x:v>Planned — not started</x:v>
      </x:c>
      <x:c r="K237" s="30" t="str">
        <x:v>Industrial process page</x:v>
      </x:c>
      <x:c r="L237" s="30" t="str">
        <x:v>Pending URL standard</x:v>
      </x:c>
      <x:c r="M237" s="30" t="str">
        <x:v>PRC.chemical_storage_and_transfer_process</x:v>
      </x:c>
      <x:c r="N237" s="30" t="str">
        <x:v>Required: simplified process-flow diagram</x:v>
      </x:c>
      <x:c r="O237" s="30" t="str">
        <x:v>Per frozen page-format standard</x:v>
      </x:c>
      <x:c r="P237" s="30" t="str">
        <x:v>Fundamental textbooks only — assign before drafting</x:v>
      </x:c>
      <x:c r="Q237" s="30" t="str">
        <x:v>Not started</x:v>
      </x:c>
      <x:c r="R237" s="30" t="str">
        <x:v>Not published</x:v>
      </x:c>
      <x:c r="S237" s="31" t="str">
        <x:v>New knowledge/data page; prepare only after editorial workflow is approved.</x:v>
      </x:c>
    </x:row>
    <x:row r="238" ht="42" customHeight="1">
      <x:c r="A238" s="50" t="str">
        <x:v>ICH-PRC-035</x:v>
      </x:c>
      <x:c r="B238" s="30" t="str">
        <x:v>Knowledge/data page</x:v>
      </x:c>
      <x:c r="C238" s="53" t="str">
        <x:v>Industrial Processes</x:v>
      </x:c>
      <x:c r="D238" s="30" t="str">
        <x:v>Chemical and Petrochemical Processes</x:v>
      </x:c>
      <x:c r="E238" s="30" t="str">
        <x:v>Feed and Storage Systems</x:v>
      </x:c>
      <x:c r="F238" s="30" t="str">
        <x:v>Gas Handling</x:v>
      </x:c>
      <x:c r="G238" s="30" t="str">
        <x:v>Industrial Gas Handling and Compression Process</x:v>
      </x:c>
      <x:c r="H238" s="30" t="str">
        <x:v>Industrial Processes &gt; Chemical and Petrochemical Processes &gt; Feed and Storage Systems &gt; Gas Handling &gt; Industrial Gas Handling and Compression Process</x:v>
      </x:c>
      <x:c r="I238" s="30" t="str">
        <x:v>—</x:v>
      </x:c>
      <x:c r="J238" s="30" t="str">
        <x:v>Planned — not started</x:v>
      </x:c>
      <x:c r="K238" s="30" t="str">
        <x:v>Industrial process page</x:v>
      </x:c>
      <x:c r="L238" s="30" t="str">
        <x:v>Pending URL standard</x:v>
      </x:c>
      <x:c r="M238" s="30" t="str">
        <x:v>PRC.industrial_gas_handling_and_compression_process</x:v>
      </x:c>
      <x:c r="N238" s="30" t="str">
        <x:v>Required: simplified process-flow diagram</x:v>
      </x:c>
      <x:c r="O238" s="30" t="str">
        <x:v>Per frozen page-format standard</x:v>
      </x:c>
      <x:c r="P238" s="30" t="str">
        <x:v>Fundamental textbooks only — assign before drafting</x:v>
      </x:c>
      <x:c r="Q238" s="30" t="str">
        <x:v>Not started</x:v>
      </x:c>
      <x:c r="R238" s="30" t="str">
        <x:v>Not published</x:v>
      </x:c>
      <x:c r="S238" s="31" t="str">
        <x:v>New knowledge/data page; prepare only after editorial workflow is approved.</x:v>
      </x:c>
    </x:row>
    <x:row r="239" ht="42" customHeight="1">
      <x:c r="A239" s="50" t="str">
        <x:v>ICH-PRC-036</x:v>
      </x:c>
      <x:c r="B239" s="30" t="str">
        <x:v>Knowledge/data page</x:v>
      </x:c>
      <x:c r="C239" s="53" t="str">
        <x:v>Industrial Processes</x:v>
      </x:c>
      <x:c r="D239" s="30" t="str">
        <x:v>Chemical and Petrochemical Processes</x:v>
      </x:c>
      <x:c r="E239" s="30" t="str">
        <x:v>Core Process Operations</x:v>
      </x:c>
      <x:c r="F239" s="30" t="str">
        <x:v>Reaction Systems</x:v>
      </x:c>
      <x:c r="G239" s="30" t="str">
        <x:v>Chemical Reactor Process Fundamentals</x:v>
      </x:c>
      <x:c r="H239" s="30" t="str">
        <x:v>Industrial Processes &gt; Chemical and Petrochemical Processes &gt; Core Process Operations &gt; Reaction Systems &gt; Chemical Reactor Process Fundamentals</x:v>
      </x:c>
      <x:c r="I239" s="30" t="str">
        <x:v>—</x:v>
      </x:c>
      <x:c r="J239" s="30" t="str">
        <x:v>Planned — not started</x:v>
      </x:c>
      <x:c r="K239" s="30" t="str">
        <x:v>Industrial process page</x:v>
      </x:c>
      <x:c r="L239" s="30" t="str">
        <x:v>Pending URL standard</x:v>
      </x:c>
      <x:c r="M239" s="30" t="str">
        <x:v>PRC.chemical_reactor_process_fundamentals</x:v>
      </x:c>
      <x:c r="N239" s="30" t="str">
        <x:v>Required: simplified process-flow diagram</x:v>
      </x:c>
      <x:c r="O239" s="30" t="str">
        <x:v>Per frozen page-format standard</x:v>
      </x:c>
      <x:c r="P239" s="30" t="str">
        <x:v>Fundamental textbooks only — assign before drafting</x:v>
      </x:c>
      <x:c r="Q239" s="30" t="str">
        <x:v>Not started</x:v>
      </x:c>
      <x:c r="R239" s="30" t="str">
        <x:v>Not published</x:v>
      </x:c>
      <x:c r="S239" s="31" t="str">
        <x:v>New knowledge/data page; prepare only after editorial workflow is approved.</x:v>
      </x:c>
    </x:row>
    <x:row r="240" ht="42" customHeight="1">
      <x:c r="A240" s="50" t="str">
        <x:v>ICH-PRC-037</x:v>
      </x:c>
      <x:c r="B240" s="30" t="str">
        <x:v>Knowledge/data page</x:v>
      </x:c>
      <x:c r="C240" s="53" t="str">
        <x:v>Industrial Processes</x:v>
      </x:c>
      <x:c r="D240" s="30" t="str">
        <x:v>Chemical and Petrochemical Processes</x:v>
      </x:c>
      <x:c r="E240" s="30" t="str">
        <x:v>Core Process Operations</x:v>
      </x:c>
      <x:c r="F240" s="30" t="str">
        <x:v>Distillation</x:v>
      </x:c>
      <x:c r="G240" s="30" t="str">
        <x:v>Distillation Column Process Flow</x:v>
      </x:c>
      <x:c r="H240" s="30" t="str">
        <x:v>Industrial Processes &gt; Chemical and Petrochemical Processes &gt; Core Process Operations &gt; Distillation &gt; Distillation Column Process Flow</x:v>
      </x:c>
      <x:c r="I240" s="30" t="str">
        <x:v>—</x:v>
      </x:c>
      <x:c r="J240" s="30" t="str">
        <x:v>Planned — not started</x:v>
      </x:c>
      <x:c r="K240" s="30" t="str">
        <x:v>Industrial process page</x:v>
      </x:c>
      <x:c r="L240" s="30" t="str">
        <x:v>Pending URL standard</x:v>
      </x:c>
      <x:c r="M240" s="30" t="str">
        <x:v>PRC.distillation_column_process_flow</x:v>
      </x:c>
      <x:c r="N240" s="30" t="str">
        <x:v>Required: simplified process-flow diagram</x:v>
      </x:c>
      <x:c r="O240" s="30" t="str">
        <x:v>Per frozen page-format standard</x:v>
      </x:c>
      <x:c r="P240" s="30" t="str">
        <x:v>Fundamental textbooks only — assign before drafting</x:v>
      </x:c>
      <x:c r="Q240" s="30" t="str">
        <x:v>Not started</x:v>
      </x:c>
      <x:c r="R240" s="30" t="str">
        <x:v>Not published</x:v>
      </x:c>
      <x:c r="S240" s="31" t="str">
        <x:v>New knowledge/data page; prepare only after editorial workflow is approved.</x:v>
      </x:c>
    </x:row>
    <x:row r="241" ht="42" customHeight="1">
      <x:c r="A241" s="50" t="str">
        <x:v>ICH-PRC-038</x:v>
      </x:c>
      <x:c r="B241" s="30" t="str">
        <x:v>Knowledge/data page</x:v>
      </x:c>
      <x:c r="C241" s="53" t="str">
        <x:v>Industrial Processes</x:v>
      </x:c>
      <x:c r="D241" s="30" t="str">
        <x:v>Chemical and Petrochemical Processes</x:v>
      </x:c>
      <x:c r="E241" s="30" t="str">
        <x:v>Core Process Operations</x:v>
      </x:c>
      <x:c r="F241" s="30" t="str">
        <x:v>Heat Exchange</x:v>
      </x:c>
      <x:c r="G241" s="30" t="str">
        <x:v>Process Heat Recovery and Heat Exchanger Networks</x:v>
      </x:c>
      <x:c r="H241" s="30" t="str">
        <x:v>Industrial Processes &gt; Chemical and Petrochemical Processes &gt; Core Process Operations &gt; Heat Exchange &gt; Process Heat Recovery and Heat Exchanger Networks</x:v>
      </x:c>
      <x:c r="I241" s="30" t="str">
        <x:v>—</x:v>
      </x:c>
      <x:c r="J241" s="30" t="str">
        <x:v>Planned — not started</x:v>
      </x:c>
      <x:c r="K241" s="30" t="str">
        <x:v>Industrial process page</x:v>
      </x:c>
      <x:c r="L241" s="30" t="str">
        <x:v>Pending URL standard</x:v>
      </x:c>
      <x:c r="M241" s="30" t="str">
        <x:v>PRC.process_heat_recovery_and_heat_exchanger_networks</x:v>
      </x:c>
      <x:c r="N241" s="30" t="str">
        <x:v>Required: simplified process-flow diagram</x:v>
      </x:c>
      <x:c r="O241" s="30" t="str">
        <x:v>Per frozen page-format standard</x:v>
      </x:c>
      <x:c r="P241" s="30" t="str">
        <x:v>Fundamental textbooks only — assign before drafting</x:v>
      </x:c>
      <x:c r="Q241" s="30" t="str">
        <x:v>Not started</x:v>
      </x:c>
      <x:c r="R241" s="30" t="str">
        <x:v>Not published</x:v>
      </x:c>
      <x:c r="S241" s="31" t="str">
        <x:v>New knowledge/data page; prepare only after editorial workflow is approved.</x:v>
      </x:c>
    </x:row>
    <x:row r="242" ht="42" customHeight="1">
      <x:c r="A242" s="50" t="str">
        <x:v>ICH-PRC-039</x:v>
      </x:c>
      <x:c r="B242" s="30" t="str">
        <x:v>Knowledge/data page</x:v>
      </x:c>
      <x:c r="C242" s="53" t="str">
        <x:v>Industrial Processes</x:v>
      </x:c>
      <x:c r="D242" s="30" t="str">
        <x:v>Chemical and Petrochemical Processes</x:v>
      </x:c>
      <x:c r="E242" s="30" t="str">
        <x:v>Process Support Systems</x:v>
      </x:c>
      <x:c r="F242" s="30" t="str">
        <x:v>Relief and Flare</x:v>
      </x:c>
      <x:c r="G242" s="30" t="str">
        <x:v>Relief, Flare and Blowdown Process Fundamentals</x:v>
      </x:c>
      <x:c r="H242" s="30" t="str">
        <x:v>Industrial Processes &gt; Chemical and Petrochemical Processes &gt; Process Support Systems &gt; Relief and Flare &gt; Relief, Flare and Blowdown Process Fundamentals</x:v>
      </x:c>
      <x:c r="I242" s="30" t="str">
        <x:v>—</x:v>
      </x:c>
      <x:c r="J242" s="30" t="str">
        <x:v>Planned — not started</x:v>
      </x:c>
      <x:c r="K242" s="30" t="str">
        <x:v>Industrial process page</x:v>
      </x:c>
      <x:c r="L242" s="30" t="str">
        <x:v>Pending URL standard</x:v>
      </x:c>
      <x:c r="M242" s="30" t="str">
        <x:v>PRC.relief_flare_and_blowdown_process_fundamentals</x:v>
      </x:c>
      <x:c r="N242" s="30" t="str">
        <x:v>Required: simplified process-flow diagram</x:v>
      </x:c>
      <x:c r="O242" s="30" t="str">
        <x:v>Per frozen page-format standard</x:v>
      </x:c>
      <x:c r="P242" s="30" t="str">
        <x:v>Fundamental textbooks only — assign before drafting</x:v>
      </x:c>
      <x:c r="Q242" s="30" t="str">
        <x:v>Not started</x:v>
      </x:c>
      <x:c r="R242" s="30" t="str">
        <x:v>Not published</x:v>
      </x:c>
      <x:c r="S242" s="31" t="str">
        <x:v>New knowledge/data page; prepare only after editorial workflow is approved.</x:v>
      </x:c>
    </x:row>
    <x:row r="243" ht="42" customHeight="1">
      <x:c r="A243" s="50" t="str">
        <x:v>ICH-PRC-040</x:v>
      </x:c>
      <x:c r="B243" s="30" t="str">
        <x:v>Knowledge/data page</x:v>
      </x:c>
      <x:c r="C243" s="53" t="str">
        <x:v>Industrial Processes</x:v>
      </x:c>
      <x:c r="D243" s="30" t="str">
        <x:v>Chemical and Petrochemical Processes</x:v>
      </x:c>
      <x:c r="E243" s="30" t="str">
        <x:v>Process Support Systems</x:v>
      </x:c>
      <x:c r="F243" s="30" t="str">
        <x:v>Effluent Treatment</x:v>
      </x:c>
      <x:c r="G243" s="30" t="str">
        <x:v>Chemical Plant Effluent Treatment Process</x:v>
      </x:c>
      <x:c r="H243" s="30" t="str">
        <x:v>Industrial Processes &gt; Chemical and Petrochemical Processes &gt; Process Support Systems &gt; Effluent Treatment &gt; Chemical Plant Effluent Treatment Process</x:v>
      </x:c>
      <x:c r="I243" s="30" t="str">
        <x:v>—</x:v>
      </x:c>
      <x:c r="J243" s="30" t="str">
        <x:v>Planned — not started</x:v>
      </x:c>
      <x:c r="K243" s="30" t="str">
        <x:v>Industrial process page</x:v>
      </x:c>
      <x:c r="L243" s="30" t="str">
        <x:v>Pending URL standard</x:v>
      </x:c>
      <x:c r="M243" s="30" t="str">
        <x:v>PRC.chemical_plant_effluent_treatment_process</x:v>
      </x:c>
      <x:c r="N243" s="30" t="str">
        <x:v>Required: simplified process-flow diagram</x:v>
      </x:c>
      <x:c r="O243" s="30" t="str">
        <x:v>Per frozen page-format standard</x:v>
      </x:c>
      <x:c r="P243" s="30" t="str">
        <x:v>Fundamental textbooks only — assign before drafting</x:v>
      </x:c>
      <x:c r="Q243" s="30" t="str">
        <x:v>Not started</x:v>
      </x:c>
      <x:c r="R243" s="30" t="str">
        <x:v>Not published</x:v>
      </x:c>
      <x:c r="S243" s="31" t="str">
        <x:v>New knowledge/data page; prepare only after editorial workflow is approved.</x:v>
      </x:c>
    </x:row>
    <x:row r="244" ht="42" customHeight="1">
      <x:c r="A244" s="50" t="str">
        <x:v>ICH-PRC-041</x:v>
      </x:c>
      <x:c r="B244" s="30" t="str">
        <x:v>Knowledge/data page</x:v>
      </x:c>
      <x:c r="C244" s="53" t="str">
        <x:v>Industrial Processes</x:v>
      </x:c>
      <x:c r="D244" s="30" t="str">
        <x:v>Water and Wastewater Treatment Processes</x:v>
      </x:c>
      <x:c r="E244" s="30" t="str">
        <x:v>Raw Water Treatment &gt; Clarification and Filtration &gt; Coagulation, Flocculation and Settling &gt; Raw Water Treatment Process</x:v>
      </x:c>
      <x:c r="F244" s="30" t="str">
        <x:v>—</x:v>
      </x:c>
      <x:c r="G244" s="30" t="str">
        <x:v>Raw Water Treatment &gt; Clarification and Filtration &gt; Coagulation, Flocculation and Settling &gt; Raw Water Treatment Process</x:v>
      </x:c>
      <x:c r="H244" s="30" t="str">
        <x:v>Industrial Processes &gt; Water and Wastewater Treatment Processes &gt; Raw Water Treatment &gt; Clarification and Filtration &gt; Coagulation, Flocculation and Settling &gt; Raw Water Treatment Process</x:v>
      </x:c>
      <x:c r="I244" s="30" t="str">
        <x:v>—</x:v>
      </x:c>
      <x:c r="J244" s="30" t="str">
        <x:v>Planned — not started</x:v>
      </x:c>
      <x:c r="K244" s="30" t="str">
        <x:v>Industrial process page</x:v>
      </x:c>
      <x:c r="L244" s="30" t="str">
        <x:v>Pending URL standard</x:v>
      </x:c>
      <x:c r="M244" s="30" t="str">
        <x:v>PRC.raw_water_treatment_clarification_and_filtration_coagulation_flocculation_and_settling_raw_water_treatment_process</x:v>
      </x:c>
      <x:c r="N244" s="30" t="str">
        <x:v>Required: simplified process-flow diagram</x:v>
      </x:c>
      <x:c r="O244" s="30" t="str">
        <x:v>Per frozen page-format standard</x:v>
      </x:c>
      <x:c r="P244" s="30" t="str">
        <x:v>Fundamental textbooks only — assign before drafting</x:v>
      </x:c>
      <x:c r="Q244" s="30" t="str">
        <x:v>Not started</x:v>
      </x:c>
      <x:c r="R244" s="30" t="str">
        <x:v>Not published</x:v>
      </x:c>
      <x:c r="S244" s="31" t="str">
        <x:v>New knowledge/data page; prepare only after editorial workflow is approved.</x:v>
      </x:c>
    </x:row>
    <x:row r="245" ht="42" customHeight="1">
      <x:c r="A245" s="50" t="str">
        <x:v>ICH-PRC-042</x:v>
      </x:c>
      <x:c r="B245" s="30" t="str">
        <x:v>Knowledge/data page</x:v>
      </x:c>
      <x:c r="C245" s="53" t="str">
        <x:v>Industrial Processes</x:v>
      </x:c>
      <x:c r="D245" s="30" t="str">
        <x:v>Water and Wastewater Treatment Processes</x:v>
      </x:c>
      <x:c r="E245" s="30" t="str">
        <x:v>RO and DM Water &gt; Membrane Treatment &gt; RO Stages and Regeneration &gt; Reverse Osmosis and DM Water Process</x:v>
      </x:c>
      <x:c r="F245" s="30" t="str">
        <x:v>—</x:v>
      </x:c>
      <x:c r="G245" s="30" t="str">
        <x:v>RO and DM Water &gt; Membrane Treatment &gt; RO Stages and Regeneration &gt; Reverse Osmosis and DM Water Process</x:v>
      </x:c>
      <x:c r="H245" s="30" t="str">
        <x:v>Industrial Processes &gt; Water and Wastewater Treatment Processes &gt; RO and DM Water &gt; Membrane Treatment &gt; RO Stages and Regeneration &gt; Reverse Osmosis and DM Water Process</x:v>
      </x:c>
      <x:c r="I245" s="30" t="str">
        <x:v>—</x:v>
      </x:c>
      <x:c r="J245" s="30" t="str">
        <x:v>Planned — not started</x:v>
      </x:c>
      <x:c r="K245" s="30" t="str">
        <x:v>Industrial process page</x:v>
      </x:c>
      <x:c r="L245" s="30" t="str">
        <x:v>Pending URL standard</x:v>
      </x:c>
      <x:c r="M245" s="30" t="str">
        <x:v>PRC.ro_and_dm_water_membrane_treatment_ro_stages_and_regeneration_reverse_osmosis_and_dm_water_process</x:v>
      </x:c>
      <x:c r="N245" s="30" t="str">
        <x:v>Required: simplified process-flow diagram</x:v>
      </x:c>
      <x:c r="O245" s="30" t="str">
        <x:v>Per frozen page-format standard</x:v>
      </x:c>
      <x:c r="P245" s="30" t="str">
        <x:v>Fundamental textbooks only — assign before drafting</x:v>
      </x:c>
      <x:c r="Q245" s="30" t="str">
        <x:v>Not started</x:v>
      </x:c>
      <x:c r="R245" s="30" t="str">
        <x:v>Not published</x:v>
      </x:c>
      <x:c r="S245" s="31" t="str">
        <x:v>New knowledge/data page; prepare only after editorial workflow is approved.</x:v>
      </x:c>
    </x:row>
    <x:row r="246" ht="42" customHeight="1">
      <x:c r="A246" s="50" t="str">
        <x:v>ICH-PRC-043</x:v>
      </x:c>
      <x:c r="B246" s="30" t="str">
        <x:v>Knowledge/data page</x:v>
      </x:c>
      <x:c r="C246" s="53" t="str">
        <x:v>Industrial Processes</x:v>
      </x:c>
      <x:c r="D246" s="30" t="str">
        <x:v>Water and Wastewater Treatment Processes</x:v>
      </x:c>
      <x:c r="E246" s="30" t="str">
        <x:v>ETP &gt; Biological and Physico-Chemical Treatment &gt; Aeration, Clarification and Sludge &gt; Industrial ETP Process</x:v>
      </x:c>
      <x:c r="F246" s="30" t="str">
        <x:v>—</x:v>
      </x:c>
      <x:c r="G246" s="30" t="str">
        <x:v>ETP &gt; Biological and Physico-Chemical Treatment &gt; Aeration, Clarification and Sludge &gt; Industrial ETP Process</x:v>
      </x:c>
      <x:c r="H246" s="30" t="str">
        <x:v>Industrial Processes &gt; Water and Wastewater Treatment Processes &gt; ETP &gt; Biological and Physico-Chemical Treatment &gt; Aeration, Clarification and Sludge &gt; Industrial ETP Process</x:v>
      </x:c>
      <x:c r="I246" s="30" t="str">
        <x:v>—</x:v>
      </x:c>
      <x:c r="J246" s="30" t="str">
        <x:v>Planned — not started</x:v>
      </x:c>
      <x:c r="K246" s="30" t="str">
        <x:v>Industrial process page</x:v>
      </x:c>
      <x:c r="L246" s="30" t="str">
        <x:v>Pending URL standard</x:v>
      </x:c>
      <x:c r="M246" s="30" t="str">
        <x:v>PRC.etp_biological_and_physico_chemical_treatment_aeration_clarification_and_sludge_industrial_etp_process</x:v>
      </x:c>
      <x:c r="N246" s="30" t="str">
        <x:v>Required: simplified process-flow diagram</x:v>
      </x:c>
      <x:c r="O246" s="30" t="str">
        <x:v>Per frozen page-format standard</x:v>
      </x:c>
      <x:c r="P246" s="30" t="str">
        <x:v>Fundamental textbooks only — assign before drafting</x:v>
      </x:c>
      <x:c r="Q246" s="30" t="str">
        <x:v>Not started</x:v>
      </x:c>
      <x:c r="R246" s="30" t="str">
        <x:v>Not published</x:v>
      </x:c>
      <x:c r="S246" s="31" t="str">
        <x:v>New knowledge/data page; prepare only after editorial workflow is approved.</x:v>
      </x:c>
    </x:row>
    <x:row r="247" ht="42" customHeight="1">
      <x:c r="A247" s="50" t="str">
        <x:v>ICH-PRC-044</x:v>
      </x:c>
      <x:c r="B247" s="30" t="str">
        <x:v>Knowledge/data page</x:v>
      </x:c>
      <x:c r="C247" s="53" t="str">
        <x:v>Industrial Processes</x:v>
      </x:c>
      <x:c r="D247" s="30" t="str">
        <x:v>Water and Wastewater Treatment Processes</x:v>
      </x:c>
      <x:c r="E247" s="30" t="str">
        <x:v>STP &gt; Sewage Treatment &gt; Primary, Secondary and Tertiary Treatment &gt; STP Process Flow</x:v>
      </x:c>
      <x:c r="F247" s="30" t="str">
        <x:v>—</x:v>
      </x:c>
      <x:c r="G247" s="30" t="str">
        <x:v>STP &gt; Sewage Treatment &gt; Primary, Secondary and Tertiary Treatment &gt; STP Process Flow</x:v>
      </x:c>
      <x:c r="H247" s="30" t="str">
        <x:v>Industrial Processes &gt; Water and Wastewater Treatment Processes &gt; STP &gt; Sewage Treatment &gt; Primary, Secondary and Tertiary Treatment &gt; STP Process Flow</x:v>
      </x:c>
      <x:c r="I247" s="30" t="str">
        <x:v>—</x:v>
      </x:c>
      <x:c r="J247" s="30" t="str">
        <x:v>Planned — not started</x:v>
      </x:c>
      <x:c r="K247" s="30" t="str">
        <x:v>Industrial process page</x:v>
      </x:c>
      <x:c r="L247" s="30" t="str">
        <x:v>Pending URL standard</x:v>
      </x:c>
      <x:c r="M247" s="30" t="str">
        <x:v>PRC.stp_sewage_treatment_primary_secondary_and_tertiary_treatment_stp_process_flow</x:v>
      </x:c>
      <x:c r="N247" s="30" t="str">
        <x:v>Required: simplified process-flow diagram</x:v>
      </x:c>
      <x:c r="O247" s="30" t="str">
        <x:v>Per frozen page-format standard</x:v>
      </x:c>
      <x:c r="P247" s="30" t="str">
        <x:v>Fundamental textbooks only — assign before drafting</x:v>
      </x:c>
      <x:c r="Q247" s="30" t="str">
        <x:v>Not started</x:v>
      </x:c>
      <x:c r="R247" s="30" t="str">
        <x:v>Not published</x:v>
      </x:c>
      <x:c r="S247" s="31" t="str">
        <x:v>New knowledge/data page; prepare only after editorial workflow is approved.</x:v>
      </x:c>
    </x:row>
    <x:row r="248" ht="42" customHeight="1">
      <x:c r="A248" s="50" t="str">
        <x:v>ICH-PRC-045</x:v>
      </x:c>
      <x:c r="B248" s="30" t="str">
        <x:v>Knowledge/data page</x:v>
      </x:c>
      <x:c r="C248" s="53" t="str">
        <x:v>Industrial Processes</x:v>
      </x:c>
      <x:c r="D248" s="30" t="str">
        <x:v>Air Pollution Control Processes</x:v>
      </x:c>
      <x:c r="E248" s="30" t="str">
        <x:v>Dust Collection &gt; Baghouse Systems &gt; Capture, Filtration and Discharge &gt; Bag Filter Dust Collection Process</x:v>
      </x:c>
      <x:c r="F248" s="30" t="str">
        <x:v>—</x:v>
      </x:c>
      <x:c r="G248" s="30" t="str">
        <x:v>Dust Collection &gt; Baghouse Systems &gt; Capture, Filtration and Discharge &gt; Bag Filter Dust Collection Process</x:v>
      </x:c>
      <x:c r="H248" s="30" t="str">
        <x:v>Industrial Processes &gt; Air Pollution Control Processes &gt; Dust Collection &gt; Baghouse Systems &gt; Capture, Filtration and Discharge &gt; Bag Filter Dust Collection Process</x:v>
      </x:c>
      <x:c r="I248" s="30" t="str">
        <x:v>—</x:v>
      </x:c>
      <x:c r="J248" s="30" t="str">
        <x:v>Planned — not started</x:v>
      </x:c>
      <x:c r="K248" s="30" t="str">
        <x:v>Industrial process page</x:v>
      </x:c>
      <x:c r="L248" s="30" t="str">
        <x:v>Pending URL standard</x:v>
      </x:c>
      <x:c r="M248" s="30" t="str">
        <x:v>PRC.dust_collection_baghouse_systems_capture_filtration_and_discharge_bag_filter_dust_collection_process</x:v>
      </x:c>
      <x:c r="N248" s="30" t="str">
        <x:v>Required: simplified process-flow diagram</x:v>
      </x:c>
      <x:c r="O248" s="30" t="str">
        <x:v>Per frozen page-format standard</x:v>
      </x:c>
      <x:c r="P248" s="30" t="str">
        <x:v>Fundamental textbooks only — assign before drafting</x:v>
      </x:c>
      <x:c r="Q248" s="30" t="str">
        <x:v>Not started</x:v>
      </x:c>
      <x:c r="R248" s="30" t="str">
        <x:v>Not published</x:v>
      </x:c>
      <x:c r="S248" s="31" t="str">
        <x:v>New knowledge/data page; prepare only after editorial workflow is approved.</x:v>
      </x:c>
    </x:row>
    <x:row r="249" ht="42" customHeight="1">
      <x:c r="A249" s="50" t="str">
        <x:v>ICH-PRC-046</x:v>
      </x:c>
      <x:c r="B249" s="30" t="str">
        <x:v>Knowledge/data page</x:v>
      </x:c>
      <x:c r="C249" s="53" t="str">
        <x:v>Industrial Processes</x:v>
      </x:c>
      <x:c r="D249" s="30" t="str">
        <x:v>Air Pollution Control Processes</x:v>
      </x:c>
      <x:c r="E249" s="30" t="str">
        <x:v>ESP Systems &gt; Electrostatic Collection &gt; Charging, Collection and Rapping &gt; ESP Dust Collection Process</x:v>
      </x:c>
      <x:c r="F249" s="30" t="str">
        <x:v>—</x:v>
      </x:c>
      <x:c r="G249" s="30" t="str">
        <x:v>ESP Systems &gt; Electrostatic Collection &gt; Charging, Collection and Rapping &gt; ESP Dust Collection Process</x:v>
      </x:c>
      <x:c r="H249" s="30" t="str">
        <x:v>Industrial Processes &gt; Air Pollution Control Processes &gt; ESP Systems &gt; Electrostatic Collection &gt; Charging, Collection and Rapping &gt; ESP Dust Collection Process</x:v>
      </x:c>
      <x:c r="I249" s="30" t="str">
        <x:v>—</x:v>
      </x:c>
      <x:c r="J249" s="30" t="str">
        <x:v>Planned — not started</x:v>
      </x:c>
      <x:c r="K249" s="30" t="str">
        <x:v>Industrial process page</x:v>
      </x:c>
      <x:c r="L249" s="30" t="str">
        <x:v>Pending URL standard</x:v>
      </x:c>
      <x:c r="M249" s="30" t="str">
        <x:v>PRC.esp_systems_electrostatic_collection_charging_collection_and_rapping_esp_dust_collection_process</x:v>
      </x:c>
      <x:c r="N249" s="30" t="str">
        <x:v>Required: simplified process-flow diagram</x:v>
      </x:c>
      <x:c r="O249" s="30" t="str">
        <x:v>Per frozen page-format standard</x:v>
      </x:c>
      <x:c r="P249" s="30" t="str">
        <x:v>Fundamental textbooks only — assign before drafting</x:v>
      </x:c>
      <x:c r="Q249" s="30" t="str">
        <x:v>Not started</x:v>
      </x:c>
      <x:c r="R249" s="30" t="str">
        <x:v>Not published</x:v>
      </x:c>
      <x:c r="S249" s="31" t="str">
        <x:v>New knowledge/data page; prepare only after editorial workflow is approved.</x:v>
      </x:c>
    </x:row>
    <x:row r="250" ht="42" customHeight="1">
      <x:c r="A250" s="50" t="str">
        <x:v>ICH-PRC-047</x:v>
      </x:c>
      <x:c r="B250" s="30" t="str">
        <x:v>Knowledge/data page</x:v>
      </x:c>
      <x:c r="C250" s="53" t="str">
        <x:v>Industrial Processes</x:v>
      </x:c>
      <x:c r="D250" s="30" t="str">
        <x:v>Air Pollution Control Processes</x:v>
      </x:c>
      <x:c r="E250" s="30" t="str">
        <x:v>FGD Systems &gt; Wet FGD &gt; Absorption, Oxidation and Gypsum Handling &gt; Wet FGD Process Flow</x:v>
      </x:c>
      <x:c r="F250" s="30" t="str">
        <x:v>—</x:v>
      </x:c>
      <x:c r="G250" s="30" t="str">
        <x:v>FGD Systems &gt; Wet FGD &gt; Absorption, Oxidation and Gypsum Handling &gt; Wet FGD Process Flow</x:v>
      </x:c>
      <x:c r="H250" s="30" t="str">
        <x:v>Industrial Processes &gt; Air Pollution Control Processes &gt; FGD Systems &gt; Wet FGD &gt; Absorption, Oxidation and Gypsum Handling &gt; Wet FGD Process Flow</x:v>
      </x:c>
      <x:c r="I250" s="30" t="str">
        <x:v>—</x:v>
      </x:c>
      <x:c r="J250" s="30" t="str">
        <x:v>Planned — not started</x:v>
      </x:c>
      <x:c r="K250" s="30" t="str">
        <x:v>Industrial process page</x:v>
      </x:c>
      <x:c r="L250" s="30" t="str">
        <x:v>Pending URL standard</x:v>
      </x:c>
      <x:c r="M250" s="30" t="str">
        <x:v>PRC.fgd_systems_wet_fgd_absorption_oxidation_and_gypsum_handling_wet_fgd_process_flow</x:v>
      </x:c>
      <x:c r="N250" s="30" t="str">
        <x:v>Required: simplified process-flow diagram</x:v>
      </x:c>
      <x:c r="O250" s="30" t="str">
        <x:v>Per frozen page-format standard</x:v>
      </x:c>
      <x:c r="P250" s="30" t="str">
        <x:v>Fundamental textbooks only — assign before drafting</x:v>
      </x:c>
      <x:c r="Q250" s="30" t="str">
        <x:v>Not started</x:v>
      </x:c>
      <x:c r="R250" s="30" t="str">
        <x:v>Not published</x:v>
      </x:c>
      <x:c r="S250" s="31" t="str">
        <x:v>New knowledge/data page; prepare only after editorial workflow is approved.</x:v>
      </x:c>
    </x:row>
    <x:row r="251" ht="42" customHeight="1">
      <x:c r="A251" s="50" t="str">
        <x:v>ICH-PRC-048</x:v>
      </x:c>
      <x:c r="B251" s="30" t="str">
        <x:v>Knowledge/data page</x:v>
      </x:c>
      <x:c r="C251" s="53" t="str">
        <x:v>Industrial Processes</x:v>
      </x:c>
      <x:c r="D251" s="30" t="str">
        <x:v>Air Pollution Control Processes</x:v>
      </x:c>
      <x:c r="E251" s="30" t="str">
        <x:v>DeNOx Systems &gt; SCR and SNCR &gt; Reagent Injection and Reaction &gt; SCR and SNCR Process Flow</x:v>
      </x:c>
      <x:c r="F251" s="30" t="str">
        <x:v>—</x:v>
      </x:c>
      <x:c r="G251" s="30" t="str">
        <x:v>DeNOx Systems &gt; SCR and SNCR &gt; Reagent Injection and Reaction &gt; SCR and SNCR Process Flow</x:v>
      </x:c>
      <x:c r="H251" s="30" t="str">
        <x:v>Industrial Processes &gt; Air Pollution Control Processes &gt; DeNOx Systems &gt; SCR and SNCR &gt; Reagent Injection and Reaction &gt; SCR and SNCR Process Flow</x:v>
      </x:c>
      <x:c r="I251" s="30" t="str">
        <x:v>—</x:v>
      </x:c>
      <x:c r="J251" s="30" t="str">
        <x:v>Planned — not started</x:v>
      </x:c>
      <x:c r="K251" s="30" t="str">
        <x:v>Industrial process page</x:v>
      </x:c>
      <x:c r="L251" s="30" t="str">
        <x:v>Pending URL standard</x:v>
      </x:c>
      <x:c r="M251" s="30" t="str">
        <x:v>PRC.denox_systems_scr_and_sncr_reagent_injection_and_reaction_scr_and_sncr_process_flow</x:v>
      </x:c>
      <x:c r="N251" s="30" t="str">
        <x:v>Required: simplified process-flow diagram</x:v>
      </x:c>
      <x:c r="O251" s="30" t="str">
        <x:v>Per frozen page-format standard</x:v>
      </x:c>
      <x:c r="P251" s="30" t="str">
        <x:v>Fundamental textbooks only — assign before drafting</x:v>
      </x:c>
      <x:c r="Q251" s="30" t="str">
        <x:v>Not started</x:v>
      </x:c>
      <x:c r="R251" s="30" t="str">
        <x:v>Not published</x:v>
      </x:c>
      <x:c r="S251" s="31" t="str">
        <x:v>New knowledge/data page; prepare only after editorial workflow is approved.</x:v>
      </x:c>
    </x:row>
    <x:row r="252" ht="42" customHeight="1">
      <x:c r="A252" s="50" t="str">
        <x:v>ICH-PRC-049</x:v>
      </x:c>
      <x:c r="B252" s="30" t="str">
        <x:v>Knowledge/data page</x:v>
      </x:c>
      <x:c r="C252" s="53" t="str">
        <x:v>Industrial Processes</x:v>
      </x:c>
      <x:c r="D252" s="30" t="str">
        <x:v>Bulk Material Handling Processes</x:v>
      </x:c>
      <x:c r="E252" s="30" t="str">
        <x:v>Receiving and Storage &gt; Truck, Wagon and Ship Unloading &gt; Unloading, Conveying and Stockyard &gt; Bulk Material Receiving Process</x:v>
      </x:c>
      <x:c r="F252" s="30" t="str">
        <x:v>—</x:v>
      </x:c>
      <x:c r="G252" s="30" t="str">
        <x:v>Receiving and Storage &gt; Truck, Wagon and Ship Unloading &gt; Unloading, Conveying and Stockyard &gt; Bulk Material Receiving Process</x:v>
      </x:c>
      <x:c r="H252" s="30" t="str">
        <x:v>Industrial Processes &gt; Bulk Material Handling Processes &gt; Receiving and Storage &gt; Truck, Wagon and Ship Unloading &gt; Unloading, Conveying and Stockyard &gt; Bulk Material Receiving Process</x:v>
      </x:c>
      <x:c r="I252" s="30" t="str">
        <x:v>—</x:v>
      </x:c>
      <x:c r="J252" s="30" t="str">
        <x:v>Planned — not started</x:v>
      </x:c>
      <x:c r="K252" s="30" t="str">
        <x:v>Industrial process page</x:v>
      </x:c>
      <x:c r="L252" s="30" t="str">
        <x:v>Pending URL standard</x:v>
      </x:c>
      <x:c r="M252" s="30" t="str">
        <x:v>PRC.receiving_and_storage_truck_wagon_and_ship_unloading_unloading_conveying_and_stockyard_bulk_material_receiving_process</x:v>
      </x:c>
      <x:c r="N252" s="30" t="str">
        <x:v>Required: simplified process-flow diagram</x:v>
      </x:c>
      <x:c r="O252" s="30" t="str">
        <x:v>Per frozen page-format standard</x:v>
      </x:c>
      <x:c r="P252" s="30" t="str">
        <x:v>Fundamental textbooks only — assign before drafting</x:v>
      </x:c>
      <x:c r="Q252" s="30" t="str">
        <x:v>Not started</x:v>
      </x:c>
      <x:c r="R252" s="30" t="str">
        <x:v>Not published</x:v>
      </x:c>
      <x:c r="S252" s="31" t="str">
        <x:v>New knowledge/data page; prepare only after editorial workflow is approved.</x:v>
      </x:c>
    </x:row>
    <x:row r="253" ht="42" customHeight="1">
      <x:c r="A253" s="50" t="str">
        <x:v>ICH-PRC-050</x:v>
      </x:c>
      <x:c r="B253" s="30" t="str">
        <x:v>Knowledge/data page</x:v>
      </x:c>
      <x:c r="C253" s="53" t="str">
        <x:v>Industrial Processes</x:v>
      </x:c>
      <x:c r="D253" s="30" t="str">
        <x:v>Bulk Material Handling Processes</x:v>
      </x:c>
      <x:c r="E253" s="30" t="str">
        <x:v>Crushing and Screening &gt; Size Reduction &gt; Crushing, Screening and Conveying &gt; Crushing and Screening Process</x:v>
      </x:c>
      <x:c r="F253" s="30" t="str">
        <x:v>—</x:v>
      </x:c>
      <x:c r="G253" s="30" t="str">
        <x:v>Crushing and Screening &gt; Size Reduction &gt; Crushing, Screening and Conveying &gt; Crushing and Screening Process</x:v>
      </x:c>
      <x:c r="H253" s="30" t="str">
        <x:v>Industrial Processes &gt; Bulk Material Handling Processes &gt; Crushing and Screening &gt; Size Reduction &gt; Crushing, Screening and Conveying &gt; Crushing and Screening Process</x:v>
      </x:c>
      <x:c r="I253" s="30" t="str">
        <x:v>—</x:v>
      </x:c>
      <x:c r="J253" s="30" t="str">
        <x:v>Planned — not started</x:v>
      </x:c>
      <x:c r="K253" s="30" t="str">
        <x:v>Industrial process page</x:v>
      </x:c>
      <x:c r="L253" s="30" t="str">
        <x:v>Pending URL standard</x:v>
      </x:c>
      <x:c r="M253" s="30" t="str">
        <x:v>PRC.crushing_and_screening_size_reduction_crushing_screening_and_conveying_crushing_and_screening_process</x:v>
      </x:c>
      <x:c r="N253" s="30" t="str">
        <x:v>Required: simplified process-flow diagram</x:v>
      </x:c>
      <x:c r="O253" s="30" t="str">
        <x:v>Per frozen page-format standard</x:v>
      </x:c>
      <x:c r="P253" s="30" t="str">
        <x:v>Fundamental textbooks only — assign before drafting</x:v>
      </x:c>
      <x:c r="Q253" s="30" t="str">
        <x:v>Not started</x:v>
      </x:c>
      <x:c r="R253" s="30" t="str">
        <x:v>Not published</x:v>
      </x:c>
      <x:c r="S253" s="31" t="str">
        <x:v>New knowledge/data page; prepare only after editorial workflow is approved.</x:v>
      </x:c>
    </x:row>
    <x:row r="254" ht="42" customHeight="1">
      <x:c r="A254" s="50" t="str">
        <x:v>ICH-PRC-051</x:v>
      </x:c>
      <x:c r="B254" s="30" t="str">
        <x:v>Knowledge/data page</x:v>
      </x:c>
      <x:c r="C254" s="53" t="str">
        <x:v>Industrial Processes</x:v>
      </x:c>
      <x:c r="D254" s="30" t="str">
        <x:v>Bulk Material Handling Processes</x:v>
      </x:c>
      <x:c r="E254" s="30" t="str">
        <x:v>Silo and Hopper Discharge &gt; Controlled Feeding &gt; Extraction, Flow Control and Conveying &gt; Silo Discharge Process</x:v>
      </x:c>
      <x:c r="F254" s="30" t="str">
        <x:v>—</x:v>
      </x:c>
      <x:c r="G254" s="30" t="str">
        <x:v>Silo and Hopper Discharge &gt; Controlled Feeding &gt; Extraction, Flow Control and Conveying &gt; Silo Discharge Process</x:v>
      </x:c>
      <x:c r="H254" s="30" t="str">
        <x:v>Industrial Processes &gt; Bulk Material Handling Processes &gt; Silo and Hopper Discharge &gt; Controlled Feeding &gt; Extraction, Flow Control and Conveying &gt; Silo Discharge Process</x:v>
      </x:c>
      <x:c r="I254" s="30" t="str">
        <x:v>—</x:v>
      </x:c>
      <x:c r="J254" s="30" t="str">
        <x:v>Planned — not started</x:v>
      </x:c>
      <x:c r="K254" s="30" t="str">
        <x:v>Industrial process page</x:v>
      </x:c>
      <x:c r="L254" s="30" t="str">
        <x:v>Pending URL standard</x:v>
      </x:c>
      <x:c r="M254" s="30" t="str">
        <x:v>PRC.silo_and_hopper_discharge_controlled_feeding_extraction_flow_control_and_conveying_silo_discharge_process</x:v>
      </x:c>
      <x:c r="N254" s="30" t="str">
        <x:v>Required: simplified process-flow diagram</x:v>
      </x:c>
      <x:c r="O254" s="30" t="str">
        <x:v>Per frozen page-format standard</x:v>
      </x:c>
      <x:c r="P254" s="30" t="str">
        <x:v>Fundamental textbooks only — assign before drafting</x:v>
      </x:c>
      <x:c r="Q254" s="30" t="str">
        <x:v>Not started</x:v>
      </x:c>
      <x:c r="R254" s="30" t="str">
        <x:v>Not published</x:v>
      </x:c>
      <x:c r="S254" s="31" t="str">
        <x:v>New knowledge/data page; prepare only after editorial workflow is approved.</x:v>
      </x:c>
    </x:row>
    <x:row r="255" ht="42" customHeight="1">
      <x:c r="A255" s="50" t="str">
        <x:v>ICH-PRC-052</x:v>
      </x:c>
      <x:c r="B255" s="30" t="str">
        <x:v>Knowledge/data page</x:v>
      </x:c>
      <x:c r="C255" s="53" t="str">
        <x:v>Industrial Processes</x:v>
      </x:c>
      <x:c r="D255" s="30" t="str">
        <x:v>Bulk Material Handling Processes</x:v>
      </x:c>
      <x:c r="E255" s="30" t="str">
        <x:v>Ash Handling &gt; Dry and Wet Ash Systems &gt; Collection, Conveying and Storage &gt; Ash Handling Process Flow</x:v>
      </x:c>
      <x:c r="F255" s="30" t="str">
        <x:v>—</x:v>
      </x:c>
      <x:c r="G255" s="30" t="str">
        <x:v>Ash Handling &gt; Dry and Wet Ash Systems &gt; Collection, Conveying and Storage &gt; Ash Handling Process Flow</x:v>
      </x:c>
      <x:c r="H255" s="30" t="str">
        <x:v>Industrial Processes &gt; Bulk Material Handling Processes &gt; Ash Handling &gt; Dry and Wet Ash Systems &gt; Collection, Conveying and Storage &gt; Ash Handling Process Flow</x:v>
      </x:c>
      <x:c r="I255" s="30" t="str">
        <x:v>—</x:v>
      </x:c>
      <x:c r="J255" s="30" t="str">
        <x:v>Planned — not started</x:v>
      </x:c>
      <x:c r="K255" s="30" t="str">
        <x:v>Industrial process page</x:v>
      </x:c>
      <x:c r="L255" s="30" t="str">
        <x:v>Pending URL standard</x:v>
      </x:c>
      <x:c r="M255" s="30" t="str">
        <x:v>PRC.ash_handling_dry_and_wet_ash_systems_collection_conveying_and_storage_ash_handling_process_flow</x:v>
      </x:c>
      <x:c r="N255" s="30" t="str">
        <x:v>Required: simplified process-flow diagram</x:v>
      </x:c>
      <x:c r="O255" s="30" t="str">
        <x:v>Per frozen page-format standard</x:v>
      </x:c>
      <x:c r="P255" s="30" t="str">
        <x:v>Fundamental textbooks only — assign before drafting</x:v>
      </x:c>
      <x:c r="Q255" s="30" t="str">
        <x:v>Not started</x:v>
      </x:c>
      <x:c r="R255" s="30" t="str">
        <x:v>Not published</x:v>
      </x:c>
      <x:c r="S255" s="31" t="str">
        <x:v>New knowledge/data page; prepare only after editorial workflow is approved.</x:v>
      </x:c>
    </x:row>
    <x:row r="256" ht="42" customHeight="1">
      <x:c r="A256" s="50" t="str">
        <x:v>ICH-PRC-053</x:v>
      </x:c>
      <x:c r="B256" s="30" t="str">
        <x:v>Knowledge/data page</x:v>
      </x:c>
      <x:c r="C256" s="53" t="str">
        <x:v>Industrial Processes</x:v>
      </x:c>
      <x:c r="D256" s="30" t="str">
        <x:v>Industrial Utility Processes</x:v>
      </x:c>
      <x:c r="E256" s="30" t="str">
        <x:v>Steam Systems &gt; Steam Distribution and Condensate Return &gt; Traps, Headers and Recovery &gt; Industrial Steam and Condensate Process</x:v>
      </x:c>
      <x:c r="F256" s="30" t="str">
        <x:v>—</x:v>
      </x:c>
      <x:c r="G256" s="30" t="str">
        <x:v>Steam Systems &gt; Steam Distribution and Condensate Return &gt; Traps, Headers and Recovery &gt; Industrial Steam and Condensate Process</x:v>
      </x:c>
      <x:c r="H256" s="30" t="str">
        <x:v>Industrial Processes &gt; Industrial Utility Processes &gt; Steam Systems &gt; Steam Distribution and Condensate Return &gt; Traps, Headers and Recovery &gt; Industrial Steam and Condensate Process</x:v>
      </x:c>
      <x:c r="I256" s="30" t="str">
        <x:v>—</x:v>
      </x:c>
      <x:c r="J256" s="30" t="str">
        <x:v>Planned — not started</x:v>
      </x:c>
      <x:c r="K256" s="30" t="str">
        <x:v>Industrial process page</x:v>
      </x:c>
      <x:c r="L256" s="30" t="str">
        <x:v>Pending URL standard</x:v>
      </x:c>
      <x:c r="M256" s="30" t="str">
        <x:v>PRC.steam_systems_steam_distribution_and_condensate_return_traps_headers_and_recovery_industrial_steam_and_condensate_process</x:v>
      </x:c>
      <x:c r="N256" s="30" t="str">
        <x:v>Required: simplified process-flow diagram</x:v>
      </x:c>
      <x:c r="O256" s="30" t="str">
        <x:v>Per frozen page-format standard</x:v>
      </x:c>
      <x:c r="P256" s="30" t="str">
        <x:v>Fundamental textbooks only — assign before drafting</x:v>
      </x:c>
      <x:c r="Q256" s="30" t="str">
        <x:v>Not started</x:v>
      </x:c>
      <x:c r="R256" s="30" t="str">
        <x:v>Not published</x:v>
      </x:c>
      <x:c r="S256" s="31" t="str">
        <x:v>New knowledge/data page; prepare only after editorial workflow is approved.</x:v>
      </x:c>
    </x:row>
    <x:row r="257" ht="42" customHeight="1">
      <x:c r="A257" s="50" t="str">
        <x:v>ICH-PRC-054</x:v>
      </x:c>
      <x:c r="B257" s="30" t="str">
        <x:v>Knowledge/data page</x:v>
      </x:c>
      <x:c r="C257" s="53" t="str">
        <x:v>Industrial Processes</x:v>
      </x:c>
      <x:c r="D257" s="30" t="str">
        <x:v>Industrial Utility Processes</x:v>
      </x:c>
      <x:c r="E257" s="30" t="str">
        <x:v>Compressed Air &gt; Air Generation and Distribution &gt; Compression, Drying and Headers &gt; Compressed Air Process Flow</x:v>
      </x:c>
      <x:c r="F257" s="30" t="str">
        <x:v>—</x:v>
      </x:c>
      <x:c r="G257" s="30" t="str">
        <x:v>Compressed Air &gt; Air Generation and Distribution &gt; Compression, Drying and Headers &gt; Compressed Air Process Flow</x:v>
      </x:c>
      <x:c r="H257" s="30" t="str">
        <x:v>Industrial Processes &gt; Industrial Utility Processes &gt; Compressed Air &gt; Air Generation and Distribution &gt; Compression, Drying and Headers &gt; Compressed Air Process Flow</x:v>
      </x:c>
      <x:c r="I257" s="30" t="str">
        <x:v>—</x:v>
      </x:c>
      <x:c r="J257" s="30" t="str">
        <x:v>Planned — not started</x:v>
      </x:c>
      <x:c r="K257" s="30" t="str">
        <x:v>Industrial process page</x:v>
      </x:c>
      <x:c r="L257" s="30" t="str">
        <x:v>Pending URL standard</x:v>
      </x:c>
      <x:c r="M257" s="30" t="str">
        <x:v>PRC.compressed_air_air_generation_and_distribution_compression_drying_and_headers_compressed_air_process_flow</x:v>
      </x:c>
      <x:c r="N257" s="30" t="str">
        <x:v>Required: simplified process-flow diagram</x:v>
      </x:c>
      <x:c r="O257" s="30" t="str">
        <x:v>Per frozen page-format standard</x:v>
      </x:c>
      <x:c r="P257" s="30" t="str">
        <x:v>Fundamental textbooks only — assign before drafting</x:v>
      </x:c>
      <x:c r="Q257" s="30" t="str">
        <x:v>Not started</x:v>
      </x:c>
      <x:c r="R257" s="30" t="str">
        <x:v>Not published</x:v>
      </x:c>
      <x:c r="S257" s="31" t="str">
        <x:v>New knowledge/data page; prepare only after editorial workflow is approved.</x:v>
      </x:c>
    </x:row>
    <x:row r="258" ht="42" customHeight="1">
      <x:c r="A258" s="50" t="str">
        <x:v>ICH-PRC-055</x:v>
      </x:c>
      <x:c r="B258" s="30" t="str">
        <x:v>Knowledge/data page</x:v>
      </x:c>
      <x:c r="C258" s="53" t="str">
        <x:v>Industrial Processes</x:v>
      </x:c>
      <x:c r="D258" s="30" t="str">
        <x:v>Industrial Utility Processes</x:v>
      </x:c>
      <x:c r="E258" s="30" t="str">
        <x:v>Cooling Water &gt; Recirculating Water System &gt; Cooling Tower, Pumps and Exchangers &gt; Cooling Water Process Flow</x:v>
      </x:c>
      <x:c r="F258" s="30" t="str">
        <x:v>—</x:v>
      </x:c>
      <x:c r="G258" s="30" t="str">
        <x:v>Cooling Water &gt; Recirculating Water System &gt; Cooling Tower, Pumps and Exchangers &gt; Cooling Water Process Flow</x:v>
      </x:c>
      <x:c r="H258" s="30" t="str">
        <x:v>Industrial Processes &gt; Industrial Utility Processes &gt; Cooling Water &gt; Recirculating Water System &gt; Cooling Tower, Pumps and Exchangers &gt; Cooling Water Process Flow</x:v>
      </x:c>
      <x:c r="I258" s="30" t="str">
        <x:v>—</x:v>
      </x:c>
      <x:c r="J258" s="30" t="str">
        <x:v>Planned — not started</x:v>
      </x:c>
      <x:c r="K258" s="30" t="str">
        <x:v>Industrial process page</x:v>
      </x:c>
      <x:c r="L258" s="30" t="str">
        <x:v>Pending URL standard</x:v>
      </x:c>
      <x:c r="M258" s="30" t="str">
        <x:v>PRC.cooling_water_recirculating_water_system_cooling_tower_pumps_and_exchangers_cooling_water_process_flow</x:v>
      </x:c>
      <x:c r="N258" s="30" t="str">
        <x:v>Required: simplified process-flow diagram</x:v>
      </x:c>
      <x:c r="O258" s="30" t="str">
        <x:v>Per frozen page-format standard</x:v>
      </x:c>
      <x:c r="P258" s="30" t="str">
        <x:v>Fundamental textbooks only — assign before drafting</x:v>
      </x:c>
      <x:c r="Q258" s="30" t="str">
        <x:v>Not started</x:v>
      </x:c>
      <x:c r="R258" s="30" t="str">
        <x:v>Not published</x:v>
      </x:c>
      <x:c r="S258" s="31" t="str">
        <x:v>New knowledge/data page; prepare only after editorial workflow is approved.</x:v>
      </x:c>
    </x:row>
    <x:row r="259" ht="42" customHeight="1">
      <x:c r="A259" s="50" t="str">
        <x:v>ICH-PRC-056</x:v>
      </x:c>
      <x:c r="B259" s="30" t="str">
        <x:v>Knowledge/data page</x:v>
      </x:c>
      <x:c r="C259" s="53" t="str">
        <x:v>Industrial Processes</x:v>
      </x:c>
      <x:c r="D259" s="30" t="str">
        <x:v>Industrial Utility Processes</x:v>
      </x:c>
      <x:c r="E259" s="30" t="str">
        <x:v>Fuel Systems &gt; Fuel Oil and Gas Systems &gt; Storage, Conditioning and Firing &gt; Industrial Fuel Supply Process</x:v>
      </x:c>
      <x:c r="F259" s="30" t="str">
        <x:v>—</x:v>
      </x:c>
      <x:c r="G259" s="30" t="str">
        <x:v>Fuel Systems &gt; Fuel Oil and Gas Systems &gt; Storage, Conditioning and Firing &gt; Industrial Fuel Supply Process</x:v>
      </x:c>
      <x:c r="H259" s="30" t="str">
        <x:v>Industrial Processes &gt; Industrial Utility Processes &gt; Fuel Systems &gt; Fuel Oil and Gas Systems &gt; Storage, Conditioning and Firing &gt; Industrial Fuel Supply Process</x:v>
      </x:c>
      <x:c r="I259" s="30" t="str">
        <x:v>—</x:v>
      </x:c>
      <x:c r="J259" s="30" t="str">
        <x:v>Planned — not started</x:v>
      </x:c>
      <x:c r="K259" s="30" t="str">
        <x:v>Industrial process page</x:v>
      </x:c>
      <x:c r="L259" s="30" t="str">
        <x:v>Pending URL standard</x:v>
      </x:c>
      <x:c r="M259" s="30" t="str">
        <x:v>PRC.fuel_systems_fuel_oil_and_gas_systems_storage_conditioning_and_firing_industrial_fuel_supply_process</x:v>
      </x:c>
      <x:c r="N259" s="30" t="str">
        <x:v>Required: simplified process-flow diagram</x:v>
      </x:c>
      <x:c r="O259" s="30" t="str">
        <x:v>Per frozen page-format standard</x:v>
      </x:c>
      <x:c r="P259" s="30" t="str">
        <x:v>Fundamental textbooks only — assign before drafting</x:v>
      </x:c>
      <x:c r="Q259" s="30" t="str">
        <x:v>Not started</x:v>
      </x:c>
      <x:c r="R259" s="30" t="str">
        <x:v>Not published</x:v>
      </x:c>
      <x:c r="S259" s="31" t="str">
        <x:v>New knowledge/data page; prepare only after editorial workflow is approved.</x:v>
      </x:c>
    </x:row>
    <x:row r="260" ht="42" customHeight="1">
      <x:c r="A260" s="50" t="str">
        <x:v>ICH-REF-002</x:v>
      </x:c>
      <x:c r="B260" s="30" t="str">
        <x:v>Knowledge/data page</x:v>
      </x:c>
      <x:c r="C260" s="53" t="str">
        <x:v>Engineering Reference Data</x:v>
      </x:c>
      <x:c r="D260" s="30" t="str">
        <x:v>Materials and Materials of Construction</x:v>
      </x:c>
      <x:c r="E260" s="30" t="str">
        <x:v>Ferrous Metals</x:v>
      </x:c>
      <x:c r="F260" s="30" t="str">
        <x:v>Carbon Steels › Structural and Plate Steels</x:v>
      </x:c>
      <x:c r="G260" s="30" t="str">
        <x:v>Carbon Steel Grades: Properties and Typical Applications</x:v>
      </x:c>
      <x:c r="H260" s="30" t="str">
        <x:v>Engineering Reference Data &gt; Materials and Materials of Construction &gt; Ferrous Metals &gt; Carbon Steels &gt; Structural and Plate Steels &gt; Carbon Steel Grades: Properties and Typical Applications</x:v>
      </x:c>
      <x:c r="I260" s="30" t="str">
        <x:v>—</x:v>
      </x:c>
      <x:c r="J260" s="30" t="str">
        <x:v>Planned — not started</x:v>
      </x:c>
      <x:c r="K260" s="30" t="str">
        <x:v>Reference data page</x:v>
      </x:c>
      <x:c r="L260" s="30" t="str">
        <x:v>Pending URL standard</x:v>
      </x:c>
      <x:c r="M260" s="30" t="str">
        <x:v>REF.carbon_steel_grades_properties_and_typical_applications</x:v>
      </x:c>
      <x:c r="N260" s="30" t="str">
        <x:v>Required: dimension sketch or property-table visual</x:v>
      </x:c>
      <x:c r="O260" s="30" t="str">
        <x:v>Per frozen page-format standard</x:v>
      </x:c>
      <x:c r="P260" s="30" t="str">
        <x:v>Fundamental textbooks only — assign before drafting</x:v>
      </x:c>
      <x:c r="Q260" s="30" t="str">
        <x:v>Not started</x:v>
      </x:c>
      <x:c r="R260" s="30" t="str">
        <x:v>Not published</x:v>
      </x:c>
      <x:c r="S260" s="31" t="str">
        <x:v>New knowledge/data page; prepare only after editorial workflow is approved.</x:v>
      </x:c>
    </x:row>
    <x:row r="261" ht="42" customHeight="1">
      <x:c r="A261" s="50" t="str">
        <x:v>ICH-REF-003</x:v>
      </x:c>
      <x:c r="B261" s="30" t="str">
        <x:v>Knowledge/data page</x:v>
      </x:c>
      <x:c r="C261" s="53" t="str">
        <x:v>Engineering Reference Data</x:v>
      </x:c>
      <x:c r="D261" s="30" t="str">
        <x:v>Materials and Materials of Construction</x:v>
      </x:c>
      <x:c r="E261" s="30" t="str">
        <x:v>Ferrous Metals</x:v>
      </x:c>
      <x:c r="F261" s="30" t="str">
        <x:v>Carbon Steels › Piping Steels</x:v>
      </x:c>
      <x:c r="G261" s="30" t="str">
        <x:v>Carbon Steel Pipe Grades: Properties and Typical Applications</x:v>
      </x:c>
      <x:c r="H261" s="30" t="str">
        <x:v>Engineering Reference Data &gt; Materials and Materials of Construction &gt; Ferrous Metals &gt; Carbon Steels &gt; Piping Steels &gt; Carbon Steel Pipe Grades: Properties and Typical Applications</x:v>
      </x:c>
      <x:c r="I261" s="30" t="str">
        <x:v>—</x:v>
      </x:c>
      <x:c r="J261" s="30" t="str">
        <x:v>Planned — not started</x:v>
      </x:c>
      <x:c r="K261" s="30" t="str">
        <x:v>Reference data page</x:v>
      </x:c>
      <x:c r="L261" s="30" t="str">
        <x:v>Pending URL standard</x:v>
      </x:c>
      <x:c r="M261" s="30" t="str">
        <x:v>REF.carbon_steel_pipe_grades_properties_and_typical_applications</x:v>
      </x:c>
      <x:c r="N261" s="30" t="str">
        <x:v>Required: dimension sketch or property-table visual</x:v>
      </x:c>
      <x:c r="O261" s="30" t="str">
        <x:v>Per frozen page-format standard</x:v>
      </x:c>
      <x:c r="P261" s="30" t="str">
        <x:v>Fundamental textbooks only — assign before drafting</x:v>
      </x:c>
      <x:c r="Q261" s="30" t="str">
        <x:v>Not started</x:v>
      </x:c>
      <x:c r="R261" s="30" t="str">
        <x:v>Not published</x:v>
      </x:c>
      <x:c r="S261" s="31" t="str">
        <x:v>New knowledge/data page; prepare only after editorial workflow is approved.</x:v>
      </x:c>
    </x:row>
    <x:row r="262" ht="42" customHeight="1">
      <x:c r="A262" s="50" t="str">
        <x:v>ICH-REF-004</x:v>
      </x:c>
      <x:c r="B262" s="30" t="str">
        <x:v>Knowledge/data page</x:v>
      </x:c>
      <x:c r="C262" s="53" t="str">
        <x:v>Engineering Reference Data</x:v>
      </x:c>
      <x:c r="D262" s="30" t="str">
        <x:v>Materials and Materials of Construction</x:v>
      </x:c>
      <x:c r="E262" s="30" t="str">
        <x:v>Ferrous Metals</x:v>
      </x:c>
      <x:c r="F262" s="30" t="str">
        <x:v>Stainless Steels</x:v>
      </x:c>
      <x:c r="G262" s="30" t="str">
        <x:v>Austenitic, Ferritic and Martensitic Stainless Steel Grades</x:v>
      </x:c>
      <x:c r="H262" s="30" t="str">
        <x:v>Engineering Reference Data &gt; Materials and Materials of Construction &gt; Ferrous Metals &gt; Stainless Steels &gt; Austenitic, Ferritic and Martensitic Stainless Steel Grades</x:v>
      </x:c>
      <x:c r="I262" s="30" t="str">
        <x:v>—</x:v>
      </x:c>
      <x:c r="J262" s="30" t="str">
        <x:v>Planned — not started</x:v>
      </x:c>
      <x:c r="K262" s="30" t="str">
        <x:v>Reference data page</x:v>
      </x:c>
      <x:c r="L262" s="30" t="str">
        <x:v>Pending URL standard</x:v>
      </x:c>
      <x:c r="M262" s="30" t="str">
        <x:v>REF.austenitic_ferritic_and_martensitic_stainless_steel_grades</x:v>
      </x:c>
      <x:c r="N262" s="30" t="str">
        <x:v>Required: dimension sketch or property-table visual</x:v>
      </x:c>
      <x:c r="O262" s="30" t="str">
        <x:v>Per frozen page-format standard</x:v>
      </x:c>
      <x:c r="P262" s="30" t="str">
        <x:v>Fundamental textbooks only — assign before drafting</x:v>
      </x:c>
      <x:c r="Q262" s="30" t="str">
        <x:v>Not started</x:v>
      </x:c>
      <x:c r="R262" s="30" t="str">
        <x:v>Not published</x:v>
      </x:c>
      <x:c r="S262" s="31" t="str">
        <x:v>New knowledge/data page; prepare only after editorial workflow is approved.</x:v>
      </x:c>
    </x:row>
    <x:row r="263" ht="42" customHeight="1">
      <x:c r="A263" s="50" t="str">
        <x:v>ICH-REF-005</x:v>
      </x:c>
      <x:c r="B263" s="30" t="str">
        <x:v>Knowledge/data page</x:v>
      </x:c>
      <x:c r="C263" s="53" t="str">
        <x:v>Engineering Reference Data</x:v>
      </x:c>
      <x:c r="D263" s="30" t="str">
        <x:v>Materials and Materials of Construction</x:v>
      </x:c>
      <x:c r="E263" s="30" t="str">
        <x:v>Ferrous Metals</x:v>
      </x:c>
      <x:c r="F263" s="30" t="str">
        <x:v>Alloy Steels</x:v>
      </x:c>
      <x:c r="G263" s="30" t="str">
        <x:v>Alloy Steel Grades for High Temperature and Pressure Service</x:v>
      </x:c>
      <x:c r="H263" s="30" t="str">
        <x:v>Engineering Reference Data &gt; Materials and Materials of Construction &gt; Ferrous Metals &gt; Alloy Steels &gt; Alloy Steel Grades for High Temperature and Pressure Service</x:v>
      </x:c>
      <x:c r="I263" s="30" t="str">
        <x:v>—</x:v>
      </x:c>
      <x:c r="J263" s="30" t="str">
        <x:v>Planned — not started</x:v>
      </x:c>
      <x:c r="K263" s="30" t="str">
        <x:v>Reference data page</x:v>
      </x:c>
      <x:c r="L263" s="30" t="str">
        <x:v>Pending URL standard</x:v>
      </x:c>
      <x:c r="M263" s="30" t="str">
        <x:v>REF.alloy_steel_grades_for_high_temperature_and_pressure_service</x:v>
      </x:c>
      <x:c r="N263" s="30" t="str">
        <x:v>Required: dimension sketch or property-table visual</x:v>
      </x:c>
      <x:c r="O263" s="30" t="str">
        <x:v>Per frozen page-format standard</x:v>
      </x:c>
      <x:c r="P263" s="30" t="str">
        <x:v>Fundamental textbooks only — assign before drafting</x:v>
      </x:c>
      <x:c r="Q263" s="30" t="str">
        <x:v>Not started</x:v>
      </x:c>
      <x:c r="R263" s="30" t="str">
        <x:v>Not published</x:v>
      </x:c>
      <x:c r="S263" s="31" t="str">
        <x:v>New knowledge/data page; prepare only after editorial workflow is approved.</x:v>
      </x:c>
    </x:row>
    <x:row r="264" ht="42" customHeight="1">
      <x:c r="A264" s="50" t="str">
        <x:v>ICH-REF-006</x:v>
      </x:c>
      <x:c r="B264" s="30" t="str">
        <x:v>Knowledge/data page</x:v>
      </x:c>
      <x:c r="C264" s="53" t="str">
        <x:v>Engineering Reference Data</x:v>
      </x:c>
      <x:c r="D264" s="30" t="str">
        <x:v>Materials and Materials of Construction</x:v>
      </x:c>
      <x:c r="E264" s="30" t="str">
        <x:v>Non-Ferrous Metals</x:v>
      </x:c>
      <x:c r="F264" s="30" t="str">
        <x:v>Aluminium Alloys</x:v>
      </x:c>
      <x:c r="G264" s="30" t="str">
        <x:v>Aluminium Alloy Grades: Properties and Applications</x:v>
      </x:c>
      <x:c r="H264" s="30" t="str">
        <x:v>Engineering Reference Data &gt; Materials and Materials of Construction &gt; Non-Ferrous Metals &gt; Aluminium Alloys &gt; Aluminium Alloy Grades: Properties and Applications</x:v>
      </x:c>
      <x:c r="I264" s="30" t="str">
        <x:v>—</x:v>
      </x:c>
      <x:c r="J264" s="30" t="str">
        <x:v>Planned — not started</x:v>
      </x:c>
      <x:c r="K264" s="30" t="str">
        <x:v>Reference data page</x:v>
      </x:c>
      <x:c r="L264" s="30" t="str">
        <x:v>Pending URL standard</x:v>
      </x:c>
      <x:c r="M264" s="30" t="str">
        <x:v>REF.aluminium_alloy_grades_properties_and_applications</x:v>
      </x:c>
      <x:c r="N264" s="30" t="str">
        <x:v>Required: dimension sketch or property-table visual</x:v>
      </x:c>
      <x:c r="O264" s="30" t="str">
        <x:v>Per frozen page-format standard</x:v>
      </x:c>
      <x:c r="P264" s="30" t="str">
        <x:v>Fundamental textbooks only — assign before drafting</x:v>
      </x:c>
      <x:c r="Q264" s="30" t="str">
        <x:v>Not started</x:v>
      </x:c>
      <x:c r="R264" s="30" t="str">
        <x:v>Not published</x:v>
      </x:c>
      <x:c r="S264" s="31" t="str">
        <x:v>New knowledge/data page; prepare only after editorial workflow is approved.</x:v>
      </x:c>
    </x:row>
    <x:row r="265" ht="42" customHeight="1">
      <x:c r="A265" s="50" t="str">
        <x:v>ICH-REF-007</x:v>
      </x:c>
      <x:c r="B265" s="30" t="str">
        <x:v>Knowledge/data page</x:v>
      </x:c>
      <x:c r="C265" s="53" t="str">
        <x:v>Engineering Reference Data</x:v>
      </x:c>
      <x:c r="D265" s="30" t="str">
        <x:v>Materials and Materials of Construction</x:v>
      </x:c>
      <x:c r="E265" s="30" t="str">
        <x:v>Non-Ferrous Metals</x:v>
      </x:c>
      <x:c r="F265" s="30" t="str">
        <x:v>Copper Alloys</x:v>
      </x:c>
      <x:c r="G265" s="30" t="str">
        <x:v>Copper, Brass and Bronze: Properties and Applications</x:v>
      </x:c>
      <x:c r="H265" s="30" t="str">
        <x:v>Engineering Reference Data &gt; Materials and Materials of Construction &gt; Non-Ferrous Metals &gt; Copper Alloys &gt; Copper, Brass and Bronze: Properties and Applications</x:v>
      </x:c>
      <x:c r="I265" s="30" t="str">
        <x:v>—</x:v>
      </x:c>
      <x:c r="J265" s="30" t="str">
        <x:v>Planned — not started</x:v>
      </x:c>
      <x:c r="K265" s="30" t="str">
        <x:v>Reference data page</x:v>
      </x:c>
      <x:c r="L265" s="30" t="str">
        <x:v>Pending URL standard</x:v>
      </x:c>
      <x:c r="M265" s="30" t="str">
        <x:v>REF.copper_brass_and_bronze_properties_and_applications</x:v>
      </x:c>
      <x:c r="N265" s="30" t="str">
        <x:v>Required: dimension sketch or property-table visual</x:v>
      </x:c>
      <x:c r="O265" s="30" t="str">
        <x:v>Per frozen page-format standard</x:v>
      </x:c>
      <x:c r="P265" s="30" t="str">
        <x:v>Fundamental textbooks only — assign before drafting</x:v>
      </x:c>
      <x:c r="Q265" s="30" t="str">
        <x:v>Not started</x:v>
      </x:c>
      <x:c r="R265" s="30" t="str">
        <x:v>Not published</x:v>
      </x:c>
      <x:c r="S265" s="31" t="str">
        <x:v>New knowledge/data page; prepare only after editorial workflow is approved.</x:v>
      </x:c>
    </x:row>
    <x:row r="266" ht="42" customHeight="1">
      <x:c r="A266" s="50" t="str">
        <x:v>ICH-REF-008</x:v>
      </x:c>
      <x:c r="B266" s="30" t="str">
        <x:v>Knowledge/data page</x:v>
      </x:c>
      <x:c r="C266" s="53" t="str">
        <x:v>Engineering Reference Data</x:v>
      </x:c>
      <x:c r="D266" s="30" t="str">
        <x:v>Materials and Materials of Construction</x:v>
      </x:c>
      <x:c r="E266" s="30" t="str">
        <x:v>Non-Metallic Materials</x:v>
      </x:c>
      <x:c r="F266" s="30" t="str">
        <x:v>Polymers and Linings</x:v>
      </x:c>
      <x:c r="G266" s="30" t="str">
        <x:v>PTFE, HDPE, PP, PVC and Rubber: Properties and Applications</x:v>
      </x:c>
      <x:c r="H266" s="30" t="str">
        <x:v>Engineering Reference Data &gt; Materials and Materials of Construction &gt; Non-Metallic Materials &gt; Polymers and Linings &gt; PTFE, HDPE, PP, PVC and Rubber: Properties and Applications</x:v>
      </x:c>
      <x:c r="I266" s="30" t="str">
        <x:v>—</x:v>
      </x:c>
      <x:c r="J266" s="30" t="str">
        <x:v>Planned — not started</x:v>
      </x:c>
      <x:c r="K266" s="30" t="str">
        <x:v>Reference data page</x:v>
      </x:c>
      <x:c r="L266" s="30" t="str">
        <x:v>Pending URL standard</x:v>
      </x:c>
      <x:c r="M266" s="30" t="str">
        <x:v>REF.ptfe_hdpe_pp_pvc_and_rubber_properties_and_applications</x:v>
      </x:c>
      <x:c r="N266" s="30" t="str">
        <x:v>Required: dimension sketch or property-table visual</x:v>
      </x:c>
      <x:c r="O266" s="30" t="str">
        <x:v>Per frozen page-format standard</x:v>
      </x:c>
      <x:c r="P266" s="30" t="str">
        <x:v>Fundamental textbooks only — assign before drafting</x:v>
      </x:c>
      <x:c r="Q266" s="30" t="str">
        <x:v>Not started</x:v>
      </x:c>
      <x:c r="R266" s="30" t="str">
        <x:v>Not published</x:v>
      </x:c>
      <x:c r="S266" s="31" t="str">
        <x:v>New knowledge/data page; prepare only after editorial workflow is approved.</x:v>
      </x:c>
    </x:row>
    <x:row r="267" ht="42" customHeight="1">
      <x:c r="A267" s="50" t="str">
        <x:v>ICH-REF-009</x:v>
      </x:c>
      <x:c r="B267" s="30" t="str">
        <x:v>Knowledge/data page</x:v>
      </x:c>
      <x:c r="C267" s="53" t="str">
        <x:v>Engineering Reference Data</x:v>
      </x:c>
      <x:c r="D267" s="30" t="str">
        <x:v>Materials and Materials of Construction</x:v>
      </x:c>
      <x:c r="E267" s="30" t="str">
        <x:v>Non-Metallic Materials</x:v>
      </x:c>
      <x:c r="F267" s="30" t="str">
        <x:v>Refractories and Insulation</x:v>
      </x:c>
      <x:c r="G267" s="30" t="str">
        <x:v>Refractory and Insulation Materials: Properties and Applications</x:v>
      </x:c>
      <x:c r="H267" s="30" t="str">
        <x:v>Engineering Reference Data &gt; Materials and Materials of Construction &gt; Non-Metallic Materials &gt; Refractories and Insulation &gt; Refractory and Insulation Materials: Properties and Applications</x:v>
      </x:c>
      <x:c r="I267" s="30" t="str">
        <x:v>—</x:v>
      </x:c>
      <x:c r="J267" s="30" t="str">
        <x:v>Planned — not started</x:v>
      </x:c>
      <x:c r="K267" s="30" t="str">
        <x:v>Reference data page</x:v>
      </x:c>
      <x:c r="L267" s="30" t="str">
        <x:v>Pending URL standard</x:v>
      </x:c>
      <x:c r="M267" s="30" t="str">
        <x:v>REF.refractory_and_insulation_materials_properties_and_applications</x:v>
      </x:c>
      <x:c r="N267" s="30" t="str">
        <x:v>Required: dimension sketch or property-table visual</x:v>
      </x:c>
      <x:c r="O267" s="30" t="str">
        <x:v>Per frozen page-format standard</x:v>
      </x:c>
      <x:c r="P267" s="30" t="str">
        <x:v>Fundamental textbooks only — assign before drafting</x:v>
      </x:c>
      <x:c r="Q267" s="30" t="str">
        <x:v>Not started</x:v>
      </x:c>
      <x:c r="R267" s="30" t="str">
        <x:v>Not published</x:v>
      </x:c>
      <x:c r="S267" s="31" t="str">
        <x:v>New knowledge/data page; prepare only after editorial workflow is approved.</x:v>
      </x:c>
    </x:row>
    <x:row r="268" ht="42" customHeight="1">
      <x:c r="A268" s="50" t="str">
        <x:v>ICH-REF-010</x:v>
      </x:c>
      <x:c r="B268" s="30" t="str">
        <x:v>Knowledge/data page</x:v>
      </x:c>
      <x:c r="C268" s="53" t="str">
        <x:v>Engineering Reference Data</x:v>
      </x:c>
      <x:c r="D268" s="30" t="str">
        <x:v>Material Properties and Standards Directory</x:v>
      </x:c>
      <x:c r="E268" s="30" t="str">
        <x:v>Material Properties</x:v>
      </x:c>
      <x:c r="F268" s="30" t="str">
        <x:v>Chemical Composition</x:v>
      </x:c>
      <x:c r="G268" s="30" t="str">
        <x:v>Chemical Composition by Material Grade</x:v>
      </x:c>
      <x:c r="H268" s="30" t="str">
        <x:v>Engineering Reference Data &gt; Material Properties and Standards Directory &gt; Material Properties &gt; Chemical Composition &gt; Chemical Composition by Material Grade</x:v>
      </x:c>
      <x:c r="I268" s="30" t="str">
        <x:v>—</x:v>
      </x:c>
      <x:c r="J268" s="30" t="str">
        <x:v>Planned — not started</x:v>
      </x:c>
      <x:c r="K268" s="30" t="str">
        <x:v>Reference data page</x:v>
      </x:c>
      <x:c r="L268" s="30" t="str">
        <x:v>Pending URL standard</x:v>
      </x:c>
      <x:c r="M268" s="30" t="str">
        <x:v>REF.chemical_composition_by_material_grade</x:v>
      </x:c>
      <x:c r="N268" s="30" t="str">
        <x:v>Required: dimension sketch or property-table visual</x:v>
      </x:c>
      <x:c r="O268" s="30" t="str">
        <x:v>Per frozen page-format standard</x:v>
      </x:c>
      <x:c r="P268" s="30" t="str">
        <x:v>Fundamental textbooks only — assign before drafting</x:v>
      </x:c>
      <x:c r="Q268" s="30" t="str">
        <x:v>Not started</x:v>
      </x:c>
      <x:c r="R268" s="30" t="str">
        <x:v>Not published</x:v>
      </x:c>
      <x:c r="S268" s="31" t="str">
        <x:v>New knowledge/data page; prepare only after editorial workflow is approved.</x:v>
      </x:c>
    </x:row>
    <x:row r="269" ht="42" customHeight="1">
      <x:c r="A269" s="50" t="str">
        <x:v>ICH-REF-011</x:v>
      </x:c>
      <x:c r="B269" s="30" t="str">
        <x:v>Knowledge/data page</x:v>
      </x:c>
      <x:c r="C269" s="53" t="str">
        <x:v>Engineering Reference Data</x:v>
      </x:c>
      <x:c r="D269" s="30" t="str">
        <x:v>Material Properties and Standards Directory</x:v>
      </x:c>
      <x:c r="E269" s="30" t="str">
        <x:v>Material Properties</x:v>
      </x:c>
      <x:c r="F269" s="30" t="str">
        <x:v>Mechanical Properties</x:v>
      </x:c>
      <x:c r="G269" s="30" t="str">
        <x:v>Yield Strength, Tensile Strength, Elongation and Hardness by Grade</x:v>
      </x:c>
      <x:c r="H269" s="30" t="str">
        <x:v>Engineering Reference Data &gt; Material Properties and Standards Directory &gt; Material Properties &gt; Mechanical Properties &gt; Yield Strength, Tensile Strength, Elongation and Hardness by Grade</x:v>
      </x:c>
      <x:c r="I269" s="30" t="str">
        <x:v>—</x:v>
      </x:c>
      <x:c r="J269" s="30" t="str">
        <x:v>Planned — not started</x:v>
      </x:c>
      <x:c r="K269" s="30" t="str">
        <x:v>Reference data page</x:v>
      </x:c>
      <x:c r="L269" s="30" t="str">
        <x:v>Pending URL standard</x:v>
      </x:c>
      <x:c r="M269" s="30" t="str">
        <x:v>REF.yield_strength_tensile_strength_elongation_and_hardness_by_grade</x:v>
      </x:c>
      <x:c r="N269" s="30" t="str">
        <x:v>Required: dimension sketch or property-table visual</x:v>
      </x:c>
      <x:c r="O269" s="30" t="str">
        <x:v>Per frozen page-format standard</x:v>
      </x:c>
      <x:c r="P269" s="30" t="str">
        <x:v>Fundamental textbooks only — assign before drafting</x:v>
      </x:c>
      <x:c r="Q269" s="30" t="str">
        <x:v>Not started</x:v>
      </x:c>
      <x:c r="R269" s="30" t="str">
        <x:v>Not published</x:v>
      </x:c>
      <x:c r="S269" s="31" t="str">
        <x:v>New knowledge/data page; prepare only after editorial workflow is approved.</x:v>
      </x:c>
    </x:row>
    <x:row r="270" ht="42" customHeight="1">
      <x:c r="A270" s="50" t="str">
        <x:v>ICH-REF-012</x:v>
      </x:c>
      <x:c r="B270" s="30" t="str">
        <x:v>Knowledge/data page</x:v>
      </x:c>
      <x:c r="C270" s="53" t="str">
        <x:v>Engineering Reference Data</x:v>
      </x:c>
      <x:c r="D270" s="30" t="str">
        <x:v>Material Properties and Standards Directory</x:v>
      </x:c>
      <x:c r="E270" s="30" t="str">
        <x:v>Material Properties</x:v>
      </x:c>
      <x:c r="F270" s="30" t="str">
        <x:v>Physical Properties</x:v>
      </x:c>
      <x:c r="G270" s="30" t="str">
        <x:v>Density, Thermal Conductivity and Thermal Expansion by Material</x:v>
      </x:c>
      <x:c r="H270" s="30" t="str">
        <x:v>Engineering Reference Data &gt; Material Properties and Standards Directory &gt; Material Properties &gt; Physical Properties &gt; Density, Thermal Conductivity and Thermal Expansion by Material</x:v>
      </x:c>
      <x:c r="I270" s="30" t="str">
        <x:v>—</x:v>
      </x:c>
      <x:c r="J270" s="30" t="str">
        <x:v>Planned — not started</x:v>
      </x:c>
      <x:c r="K270" s="30" t="str">
        <x:v>Reference data page</x:v>
      </x:c>
      <x:c r="L270" s="30" t="str">
        <x:v>Pending URL standard</x:v>
      </x:c>
      <x:c r="M270" s="30" t="str">
        <x:v>REF.density_thermal_conductivity_and_thermal_expansion_by_material</x:v>
      </x:c>
      <x:c r="N270" s="30" t="str">
        <x:v>Required: dimension sketch or property-table visual</x:v>
      </x:c>
      <x:c r="O270" s="30" t="str">
        <x:v>Per frozen page-format standard</x:v>
      </x:c>
      <x:c r="P270" s="30" t="str">
        <x:v>Fundamental textbooks only — assign before drafting</x:v>
      </x:c>
      <x:c r="Q270" s="30" t="str">
        <x:v>Not started</x:v>
      </x:c>
      <x:c r="R270" s="30" t="str">
        <x:v>Not published</x:v>
      </x:c>
      <x:c r="S270" s="31" t="str">
        <x:v>New knowledge/data page; prepare only after editorial workflow is approved.</x:v>
      </x:c>
    </x:row>
    <x:row r="271" ht="42" customHeight="1">
      <x:c r="A271" s="50" t="str">
        <x:v>ICH-REF-013</x:v>
      </x:c>
      <x:c r="B271" s="30" t="str">
        <x:v>Knowledge/data page</x:v>
      </x:c>
      <x:c r="C271" s="53" t="str">
        <x:v>Engineering Reference Data</x:v>
      </x:c>
      <x:c r="D271" s="30" t="str">
        <x:v>Material Properties and Standards Directory</x:v>
      </x:c>
      <x:c r="E271" s="30" t="str">
        <x:v>Standards Directory</x:v>
      </x:c>
      <x:c r="F271" s="30" t="str">
        <x:v>Material Standards</x:v>
      </x:c>
      <x:c r="G271" s="30" t="str">
        <x:v>IS, ASTM, ASME, EN, DIN, JIS and ISO Material Standards Directory</x:v>
      </x:c>
      <x:c r="H271" s="30" t="str">
        <x:v>Engineering Reference Data &gt; Material Properties and Standards Directory &gt; Standards Directory &gt; Material Standards &gt; IS, ASTM, ASME, EN, DIN, JIS and ISO Material Standards Directory</x:v>
      </x:c>
      <x:c r="I271" s="30" t="str">
        <x:v>—</x:v>
      </x:c>
      <x:c r="J271" s="30" t="str">
        <x:v>Planned — not started</x:v>
      </x:c>
      <x:c r="K271" s="30" t="str">
        <x:v>Reference data page</x:v>
      </x:c>
      <x:c r="L271" s="30" t="str">
        <x:v>Pending URL standard</x:v>
      </x:c>
      <x:c r="M271" s="30" t="str">
        <x:v>REF.is_astm_asme_en_din_jis_and_iso_material_standards_directory</x:v>
      </x:c>
      <x:c r="N271" s="30" t="str">
        <x:v>Required: dimension sketch or property-table visual</x:v>
      </x:c>
      <x:c r="O271" s="30" t="str">
        <x:v>Per frozen page-format standard</x:v>
      </x:c>
      <x:c r="P271" s="30" t="str">
        <x:v>Fundamental textbooks only — assign before drafting</x:v>
      </x:c>
      <x:c r="Q271" s="30" t="str">
        <x:v>Not started</x:v>
      </x:c>
      <x:c r="R271" s="30" t="str">
        <x:v>Not published</x:v>
      </x:c>
      <x:c r="S271" s="31" t="str">
        <x:v>New knowledge/data page; prepare only after editorial workflow is approved.</x:v>
      </x:c>
    </x:row>
    <x:row r="272" ht="42" customHeight="1">
      <x:c r="A272" s="50" t="str">
        <x:v>ICH-REF-014</x:v>
      </x:c>
      <x:c r="B272" s="30" t="str">
        <x:v>Knowledge/data page</x:v>
      </x:c>
      <x:c r="C272" s="53" t="str">
        <x:v>Engineering Reference Data</x:v>
      </x:c>
      <x:c r="D272" s="30" t="str">
        <x:v>Material Properties and Standards Directory</x:v>
      </x:c>
      <x:c r="E272" s="30" t="str">
        <x:v>Standards Directory</x:v>
      </x:c>
      <x:c r="F272" s="30" t="str">
        <x:v>Grade Cross References</x:v>
      </x:c>
      <x:c r="G272" s="30" t="str">
        <x:v>Material Grade Cross-Reference Guide and Limitations</x:v>
      </x:c>
      <x:c r="H272" s="30" t="str">
        <x:v>Engineering Reference Data &gt; Material Properties and Standards Directory &gt; Standards Directory &gt; Grade Cross References &gt; Material Grade Cross-Reference Guide and Limitations</x:v>
      </x:c>
      <x:c r="I272" s="30" t="str">
        <x:v>—</x:v>
      </x:c>
      <x:c r="J272" s="30" t="str">
        <x:v>Planned — not started</x:v>
      </x:c>
      <x:c r="K272" s="30" t="str">
        <x:v>Reference data page</x:v>
      </x:c>
      <x:c r="L272" s="30" t="str">
        <x:v>Pending URL standard</x:v>
      </x:c>
      <x:c r="M272" s="30" t="str">
        <x:v>REF.material_grade_cross_reference_guide_and_limitations</x:v>
      </x:c>
      <x:c r="N272" s="30" t="str">
        <x:v>Required: dimension sketch or property-table visual</x:v>
      </x:c>
      <x:c r="O272" s="30" t="str">
        <x:v>Per frozen page-format standard</x:v>
      </x:c>
      <x:c r="P272" s="30" t="str">
        <x:v>Fundamental textbooks only — assign before drafting</x:v>
      </x:c>
      <x:c r="Q272" s="30" t="str">
        <x:v>Not started</x:v>
      </x:c>
      <x:c r="R272" s="30" t="str">
        <x:v>Not published</x:v>
      </x:c>
      <x:c r="S272" s="31" t="str">
        <x:v>New knowledge/data page; prepare only after editorial workflow is approved.</x:v>
      </x:c>
    </x:row>
    <x:row r="273" ht="42" customHeight="1">
      <x:c r="A273" s="50" t="str">
        <x:v>ICH-REF-015</x:v>
      </x:c>
      <x:c r="B273" s="30" t="str">
        <x:v>Knowledge/data page</x:v>
      </x:c>
      <x:c r="C273" s="53" t="str">
        <x:v>Engineering Reference Data</x:v>
      </x:c>
      <x:c r="D273" s="30" t="str">
        <x:v>Plates, Sheets, Bars, Rods and Wire</x:v>
      </x:c>
      <x:c r="E273" s="30" t="str">
        <x:v>Plates and Sheets</x:v>
      </x:c>
      <x:c r="F273" s="30" t="str">
        <x:v>Carbon Steel Products</x:v>
      </x:c>
      <x:c r="G273" s="30" t="str">
        <x:v>Carbon Steel Plate Thickness and Weight Table</x:v>
      </x:c>
      <x:c r="H273" s="30" t="str">
        <x:v>Engineering Reference Data &gt; Plates, Sheets, Bars, Rods and Wire &gt; Plates and Sheets &gt; Carbon Steel Products &gt; Carbon Steel Plate Thickness and Weight Table</x:v>
      </x:c>
      <x:c r="I273" s="30" t="str">
        <x:v>—</x:v>
      </x:c>
      <x:c r="J273" s="30" t="str">
        <x:v>Planned — not started</x:v>
      </x:c>
      <x:c r="K273" s="30" t="str">
        <x:v>Reference data page</x:v>
      </x:c>
      <x:c r="L273" s="30" t="str">
        <x:v>Pending URL standard</x:v>
      </x:c>
      <x:c r="M273" s="30" t="str">
        <x:v>REF.carbon_steel_plate_thickness_and_weight_table</x:v>
      </x:c>
      <x:c r="N273" s="30" t="str">
        <x:v>Required: dimension sketch or property-table visual</x:v>
      </x:c>
      <x:c r="O273" s="30" t="str">
        <x:v>Per frozen page-format standard</x:v>
      </x:c>
      <x:c r="P273" s="30" t="str">
        <x:v>Fundamental textbooks only — assign before drafting</x:v>
      </x:c>
      <x:c r="Q273" s="30" t="str">
        <x:v>Not started</x:v>
      </x:c>
      <x:c r="R273" s="30" t="str">
        <x:v>Not published</x:v>
      </x:c>
      <x:c r="S273" s="31" t="str">
        <x:v>New knowledge/data page; prepare only after editorial workflow is approved.</x:v>
      </x:c>
    </x:row>
    <x:row r="274" ht="42" customHeight="1">
      <x:c r="A274" s="50" t="str">
        <x:v>ICH-REF-016</x:v>
      </x:c>
      <x:c r="B274" s="30" t="str">
        <x:v>Knowledge/data page</x:v>
      </x:c>
      <x:c r="C274" s="53" t="str">
        <x:v>Engineering Reference Data</x:v>
      </x:c>
      <x:c r="D274" s="30" t="str">
        <x:v>Plates, Sheets, Bars, Rods and Wire</x:v>
      </x:c>
      <x:c r="E274" s="30" t="str">
        <x:v>Plates and Sheets</x:v>
      </x:c>
      <x:c r="F274" s="30" t="str">
        <x:v>Carbon Steel Products</x:v>
      </x:c>
      <x:c r="G274" s="30" t="str">
        <x:v>Carbon Steel Sheet Thickness, Gauge and Weight Table</x:v>
      </x:c>
      <x:c r="H274" s="30" t="str">
        <x:v>Engineering Reference Data &gt; Plates, Sheets, Bars, Rods and Wire &gt; Plates and Sheets &gt; Carbon Steel Products &gt; Carbon Steel Sheet Thickness, Gauge and Weight Table</x:v>
      </x:c>
      <x:c r="I274" s="30" t="str">
        <x:v>—</x:v>
      </x:c>
      <x:c r="J274" s="30" t="str">
        <x:v>Planned — not started</x:v>
      </x:c>
      <x:c r="K274" s="30" t="str">
        <x:v>Reference data page</x:v>
      </x:c>
      <x:c r="L274" s="30" t="str">
        <x:v>Pending URL standard</x:v>
      </x:c>
      <x:c r="M274" s="30" t="str">
        <x:v>REF.carbon_steel_sheet_thickness_gauge_and_weight_table</x:v>
      </x:c>
      <x:c r="N274" s="30" t="str">
        <x:v>Required: dimension sketch or property-table visual</x:v>
      </x:c>
      <x:c r="O274" s="30" t="str">
        <x:v>Per frozen page-format standard</x:v>
      </x:c>
      <x:c r="P274" s="30" t="str">
        <x:v>Fundamental textbooks only — assign before drafting</x:v>
      </x:c>
      <x:c r="Q274" s="30" t="str">
        <x:v>Not started</x:v>
      </x:c>
      <x:c r="R274" s="30" t="str">
        <x:v>Not published</x:v>
      </x:c>
      <x:c r="S274" s="31" t="str">
        <x:v>New knowledge/data page; prepare only after editorial workflow is approved.</x:v>
      </x:c>
    </x:row>
    <x:row r="275" ht="42" customHeight="1">
      <x:c r="A275" s="50" t="str">
        <x:v>ICH-REF-017</x:v>
      </x:c>
      <x:c r="B275" s="30" t="str">
        <x:v>Knowledge/data page</x:v>
      </x:c>
      <x:c r="C275" s="53" t="str">
        <x:v>Engineering Reference Data</x:v>
      </x:c>
      <x:c r="D275" s="30" t="str">
        <x:v>Plates, Sheets, Bars, Rods and Wire</x:v>
      </x:c>
      <x:c r="E275" s="30" t="str">
        <x:v>Plates and Sheets</x:v>
      </x:c>
      <x:c r="F275" s="30" t="str">
        <x:v>Stainless Steel Products</x:v>
      </x:c>
      <x:c r="G275" s="30" t="str">
        <x:v>Stainless Steel Plate and Sheet Thickness and Weight Table</x:v>
      </x:c>
      <x:c r="H275" s="30" t="str">
        <x:v>Engineering Reference Data &gt; Plates, Sheets, Bars, Rods and Wire &gt; Plates and Sheets &gt; Stainless Steel Products &gt; Stainless Steel Plate and Sheet Thickness and Weight Table</x:v>
      </x:c>
      <x:c r="I275" s="30" t="str">
        <x:v>—</x:v>
      </x:c>
      <x:c r="J275" s="30" t="str">
        <x:v>Planned — not started</x:v>
      </x:c>
      <x:c r="K275" s="30" t="str">
        <x:v>Reference data page</x:v>
      </x:c>
      <x:c r="L275" s="30" t="str">
        <x:v>Pending URL standard</x:v>
      </x:c>
      <x:c r="M275" s="30" t="str">
        <x:v>REF.stainless_steel_plate_and_sheet_thickness_and_weight_table</x:v>
      </x:c>
      <x:c r="N275" s="30" t="str">
        <x:v>Required: dimension sketch or property-table visual</x:v>
      </x:c>
      <x:c r="O275" s="30" t="str">
        <x:v>Per frozen page-format standard</x:v>
      </x:c>
      <x:c r="P275" s="30" t="str">
        <x:v>Fundamental textbooks only — assign before drafting</x:v>
      </x:c>
      <x:c r="Q275" s="30" t="str">
        <x:v>Not started</x:v>
      </x:c>
      <x:c r="R275" s="30" t="str">
        <x:v>Not published</x:v>
      </x:c>
      <x:c r="S275" s="31" t="str">
        <x:v>New knowledge/data page; prepare only after editorial workflow is approved.</x:v>
      </x:c>
    </x:row>
    <x:row r="276" ht="42" customHeight="1">
      <x:c r="A276" s="50" t="str">
        <x:v>ICH-REF-018</x:v>
      </x:c>
      <x:c r="B276" s="30" t="str">
        <x:v>Knowledge/data page</x:v>
      </x:c>
      <x:c r="C276" s="53" t="str">
        <x:v>Engineering Reference Data</x:v>
      </x:c>
      <x:c r="D276" s="30" t="str">
        <x:v>Plates, Sheets, Bars, Rods and Wire</x:v>
      </x:c>
      <x:c r="E276" s="30" t="str">
        <x:v>Plates and Sheets</x:v>
      </x:c>
      <x:c r="F276" s="30" t="str">
        <x:v>Aluminium Products</x:v>
      </x:c>
      <x:c r="G276" s="30" t="str">
        <x:v>Aluminium Plate and Sheet Thickness and Weight Table</x:v>
      </x:c>
      <x:c r="H276" s="30" t="str">
        <x:v>Engineering Reference Data &gt; Plates, Sheets, Bars, Rods and Wire &gt; Plates and Sheets &gt; Aluminium Products &gt; Aluminium Plate and Sheet Thickness and Weight Table</x:v>
      </x:c>
      <x:c r="I276" s="30" t="str">
        <x:v>—</x:v>
      </x:c>
      <x:c r="J276" s="30" t="str">
        <x:v>Planned — not started</x:v>
      </x:c>
      <x:c r="K276" s="30" t="str">
        <x:v>Reference data page</x:v>
      </x:c>
      <x:c r="L276" s="30" t="str">
        <x:v>Pending URL standard</x:v>
      </x:c>
      <x:c r="M276" s="30" t="str">
        <x:v>REF.aluminium_plate_and_sheet_thickness_and_weight_table</x:v>
      </x:c>
      <x:c r="N276" s="30" t="str">
        <x:v>Required: dimension sketch or property-table visual</x:v>
      </x:c>
      <x:c r="O276" s="30" t="str">
        <x:v>Per frozen page-format standard</x:v>
      </x:c>
      <x:c r="P276" s="30" t="str">
        <x:v>Fundamental textbooks only — assign before drafting</x:v>
      </x:c>
      <x:c r="Q276" s="30" t="str">
        <x:v>Not started</x:v>
      </x:c>
      <x:c r="R276" s="30" t="str">
        <x:v>Not published</x:v>
      </x:c>
      <x:c r="S276" s="31" t="str">
        <x:v>New knowledge/data page; prepare only after editorial workflow is approved.</x:v>
      </x:c>
    </x:row>
    <x:row r="277" ht="42" customHeight="1">
      <x:c r="A277" s="50" t="str">
        <x:v>ICH-REF-019</x:v>
      </x:c>
      <x:c r="B277" s="30" t="str">
        <x:v>Knowledge/data page</x:v>
      </x:c>
      <x:c r="C277" s="53" t="str">
        <x:v>Engineering Reference Data</x:v>
      </x:c>
      <x:c r="D277" s="30" t="str">
        <x:v>Plates, Sheets, Bars, Rods and Wire</x:v>
      </x:c>
      <x:c r="E277" s="30" t="str">
        <x:v>Bars and Rods</x:v>
      </x:c>
      <x:c r="F277" s="30" t="str">
        <x:v>Round and Square Bars</x:v>
      </x:c>
      <x:c r="G277" s="30" t="str">
        <x:v>Round Bar Diameter and Weight Table</x:v>
      </x:c>
      <x:c r="H277" s="30" t="str">
        <x:v>Engineering Reference Data &gt; Plates, Sheets, Bars, Rods and Wire &gt; Bars and Rods &gt; Round and Square Bars &gt; Round Bar Diameter and Weight Table</x:v>
      </x:c>
      <x:c r="I277" s="30" t="str">
        <x:v>—</x:v>
      </x:c>
      <x:c r="J277" s="30" t="str">
        <x:v>Planned — not started</x:v>
      </x:c>
      <x:c r="K277" s="30" t="str">
        <x:v>Reference data page</x:v>
      </x:c>
      <x:c r="L277" s="30" t="str">
        <x:v>Pending URL standard</x:v>
      </x:c>
      <x:c r="M277" s="30" t="str">
        <x:v>REF.round_bar_diameter_and_weight_table</x:v>
      </x:c>
      <x:c r="N277" s="30" t="str">
        <x:v>Required: dimension sketch or property-table visual</x:v>
      </x:c>
      <x:c r="O277" s="30" t="str">
        <x:v>Per frozen page-format standard</x:v>
      </x:c>
      <x:c r="P277" s="30" t="str">
        <x:v>Fundamental textbooks only — assign before drafting</x:v>
      </x:c>
      <x:c r="Q277" s="30" t="str">
        <x:v>Not started</x:v>
      </x:c>
      <x:c r="R277" s="30" t="str">
        <x:v>Not published</x:v>
      </x:c>
      <x:c r="S277" s="31" t="str">
        <x:v>New knowledge/data page; prepare only after editorial workflow is approved.</x:v>
      </x:c>
    </x:row>
    <x:row r="278" ht="42" customHeight="1">
      <x:c r="A278" s="50" t="str">
        <x:v>ICH-REF-020</x:v>
      </x:c>
      <x:c r="B278" s="30" t="str">
        <x:v>Knowledge/data page</x:v>
      </x:c>
      <x:c r="C278" s="53" t="str">
        <x:v>Engineering Reference Data</x:v>
      </x:c>
      <x:c r="D278" s="30" t="str">
        <x:v>Plates, Sheets, Bars, Rods and Wire</x:v>
      </x:c>
      <x:c r="E278" s="30" t="str">
        <x:v>Bars and Rods</x:v>
      </x:c>
      <x:c r="F278" s="30" t="str">
        <x:v>Round and Square Bars</x:v>
      </x:c>
      <x:c r="G278" s="30" t="str">
        <x:v>Square Bar Size and Weight Table</x:v>
      </x:c>
      <x:c r="H278" s="30" t="str">
        <x:v>Engineering Reference Data &gt; Plates, Sheets, Bars, Rods and Wire &gt; Bars and Rods &gt; Round and Square Bars &gt; Square Bar Size and Weight Table</x:v>
      </x:c>
      <x:c r="I278" s="30" t="str">
        <x:v>—</x:v>
      </x:c>
      <x:c r="J278" s="30" t="str">
        <x:v>Planned — not started</x:v>
      </x:c>
      <x:c r="K278" s="30" t="str">
        <x:v>Reference data page</x:v>
      </x:c>
      <x:c r="L278" s="30" t="str">
        <x:v>Pending URL standard</x:v>
      </x:c>
      <x:c r="M278" s="30" t="str">
        <x:v>REF.square_bar_size_and_weight_table</x:v>
      </x:c>
      <x:c r="N278" s="30" t="str">
        <x:v>Required: dimension sketch or property-table visual</x:v>
      </x:c>
      <x:c r="O278" s="30" t="str">
        <x:v>Per frozen page-format standard</x:v>
      </x:c>
      <x:c r="P278" s="30" t="str">
        <x:v>Fundamental textbooks only — assign before drafting</x:v>
      </x:c>
      <x:c r="Q278" s="30" t="str">
        <x:v>Not started</x:v>
      </x:c>
      <x:c r="R278" s="30" t="str">
        <x:v>Not published</x:v>
      </x:c>
      <x:c r="S278" s="31" t="str">
        <x:v>New knowledge/data page; prepare only after editorial workflow is approved.</x:v>
      </x:c>
    </x:row>
    <x:row r="279" ht="42" customHeight="1">
      <x:c r="A279" s="50" t="str">
        <x:v>ICH-REF-021</x:v>
      </x:c>
      <x:c r="B279" s="30" t="str">
        <x:v>Knowledge/data page</x:v>
      </x:c>
      <x:c r="C279" s="53" t="str">
        <x:v>Engineering Reference Data</x:v>
      </x:c>
      <x:c r="D279" s="30" t="str">
        <x:v>Plates, Sheets, Bars, Rods and Wire</x:v>
      </x:c>
      <x:c r="E279" s="30" t="str">
        <x:v>Bars and Rods</x:v>
      </x:c>
      <x:c r="F279" s="30" t="str">
        <x:v>Flat Bars</x:v>
      </x:c>
      <x:c r="G279" s="30" t="str">
        <x:v>Flat Bar Thickness, Width and Weight Table</x:v>
      </x:c>
      <x:c r="H279" s="30" t="str">
        <x:v>Engineering Reference Data &gt; Plates, Sheets, Bars, Rods and Wire &gt; Bars and Rods &gt; Flat Bars &gt; Flat Bar Thickness, Width and Weight Table</x:v>
      </x:c>
      <x:c r="I279" s="30" t="str">
        <x:v>—</x:v>
      </x:c>
      <x:c r="J279" s="30" t="str">
        <x:v>Planned — not started</x:v>
      </x:c>
      <x:c r="K279" s="30" t="str">
        <x:v>Reference data page</x:v>
      </x:c>
      <x:c r="L279" s="30" t="str">
        <x:v>Pending URL standard</x:v>
      </x:c>
      <x:c r="M279" s="30" t="str">
        <x:v>REF.flat_bar_thickness_width_and_weight_table</x:v>
      </x:c>
      <x:c r="N279" s="30" t="str">
        <x:v>Required: dimension sketch or property-table visual</x:v>
      </x:c>
      <x:c r="O279" s="30" t="str">
        <x:v>Per frozen page-format standard</x:v>
      </x:c>
      <x:c r="P279" s="30" t="str">
        <x:v>Fundamental textbooks only — assign before drafting</x:v>
      </x:c>
      <x:c r="Q279" s="30" t="str">
        <x:v>Not started</x:v>
      </x:c>
      <x:c r="R279" s="30" t="str">
        <x:v>Not published</x:v>
      </x:c>
      <x:c r="S279" s="31" t="str">
        <x:v>New knowledge/data page; prepare only after editorial workflow is approved.</x:v>
      </x:c>
    </x:row>
    <x:row r="280" ht="42" customHeight="1">
      <x:c r="A280" s="50" t="str">
        <x:v>ICH-REF-022</x:v>
      </x:c>
      <x:c r="B280" s="30" t="str">
        <x:v>Knowledge/data page</x:v>
      </x:c>
      <x:c r="C280" s="53" t="str">
        <x:v>Engineering Reference Data</x:v>
      </x:c>
      <x:c r="D280" s="30" t="str">
        <x:v>Plates, Sheets, Bars, Rods and Wire</x:v>
      </x:c>
      <x:c r="E280" s="30" t="str">
        <x:v>Bars and Rods</x:v>
      </x:c>
      <x:c r="F280" s="30" t="str">
        <x:v>Reinforcement Bars</x:v>
      </x:c>
      <x:c r="G280" s="30" t="str">
        <x:v>Reinforcement Bar Diameter and Weight Table</x:v>
      </x:c>
      <x:c r="H280" s="30" t="str">
        <x:v>Engineering Reference Data &gt; Plates, Sheets, Bars, Rods and Wire &gt; Bars and Rods &gt; Reinforcement Bars &gt; Reinforcement Bar Diameter and Weight Table</x:v>
      </x:c>
      <x:c r="I280" s="30" t="str">
        <x:v>—</x:v>
      </x:c>
      <x:c r="J280" s="30" t="str">
        <x:v>Planned — not started</x:v>
      </x:c>
      <x:c r="K280" s="30" t="str">
        <x:v>Reference data page</x:v>
      </x:c>
      <x:c r="L280" s="30" t="str">
        <x:v>Pending URL standard</x:v>
      </x:c>
      <x:c r="M280" s="30" t="str">
        <x:v>REF.reinforcement_bar_diameter_and_weight_table</x:v>
      </x:c>
      <x:c r="N280" s="30" t="str">
        <x:v>Required: dimension sketch or property-table visual</x:v>
      </x:c>
      <x:c r="O280" s="30" t="str">
        <x:v>Per frozen page-format standard</x:v>
      </x:c>
      <x:c r="P280" s="30" t="str">
        <x:v>Fundamental textbooks only — assign before drafting</x:v>
      </x:c>
      <x:c r="Q280" s="30" t="str">
        <x:v>Not started</x:v>
      </x:c>
      <x:c r="R280" s="30" t="str">
        <x:v>Not published</x:v>
      </x:c>
      <x:c r="S280" s="31" t="str">
        <x:v>New knowledge/data page; prepare only after editorial workflow is approved.</x:v>
      </x:c>
    </x:row>
    <x:row r="281" ht="42" customHeight="1">
      <x:c r="A281" s="50" t="str">
        <x:v>ICH-REF-023</x:v>
      </x:c>
      <x:c r="B281" s="30" t="str">
        <x:v>Knowledge/data page</x:v>
      </x:c>
      <x:c r="C281" s="53" t="str">
        <x:v>Engineering Reference Data</x:v>
      </x:c>
      <x:c r="D281" s="30" t="str">
        <x:v>Plates, Sheets, Bars, Rods and Wire</x:v>
      </x:c>
      <x:c r="E281" s="30" t="str">
        <x:v>Wire</x:v>
      </x:c>
      <x:c r="F281" s="30" t="str">
        <x:v>Wire Sizes</x:v>
      </x:c>
      <x:c r="G281" s="30" t="str">
        <x:v>Wire Diameter and Gauge Conversion Table</x:v>
      </x:c>
      <x:c r="H281" s="30" t="str">
        <x:v>Engineering Reference Data &gt; Plates, Sheets, Bars, Rods and Wire &gt; Wire &gt; Wire Sizes &gt; Wire Diameter and Gauge Conversion Table</x:v>
      </x:c>
      <x:c r="I281" s="30" t="str">
        <x:v>—</x:v>
      </x:c>
      <x:c r="J281" s="30" t="str">
        <x:v>Planned — not started</x:v>
      </x:c>
      <x:c r="K281" s="30" t="str">
        <x:v>Reference data page</x:v>
      </x:c>
      <x:c r="L281" s="30" t="str">
        <x:v>Pending URL standard</x:v>
      </x:c>
      <x:c r="M281" s="30" t="str">
        <x:v>REF.wire_diameter_and_gauge_conversion_table</x:v>
      </x:c>
      <x:c r="N281" s="30" t="str">
        <x:v>Required: dimension sketch or property-table visual</x:v>
      </x:c>
      <x:c r="O281" s="30" t="str">
        <x:v>Per frozen page-format standard</x:v>
      </x:c>
      <x:c r="P281" s="30" t="str">
        <x:v>Fundamental textbooks only — assign before drafting</x:v>
      </x:c>
      <x:c r="Q281" s="30" t="str">
        <x:v>Not started</x:v>
      </x:c>
      <x:c r="R281" s="30" t="str">
        <x:v>Not published</x:v>
      </x:c>
      <x:c r="S281" s="31" t="str">
        <x:v>New knowledge/data page; prepare only after editorial workflow is approved.</x:v>
      </x:c>
    </x:row>
    <x:row r="282" ht="42" customHeight="1">
      <x:c r="A282" s="50" t="str">
        <x:v>ICH-REF-024</x:v>
      </x:c>
      <x:c r="B282" s="30" t="str">
        <x:v>Knowledge/data page</x:v>
      </x:c>
      <x:c r="C282" s="53" t="str">
        <x:v>Engineering Reference Data</x:v>
      </x:c>
      <x:c r="D282" s="30" t="str">
        <x:v>Pipes, Tubes, Fittings and Flanges</x:v>
      </x:c>
      <x:c r="E282" s="30" t="str">
        <x:v>Pipes</x:v>
      </x:c>
      <x:c r="F282" s="30" t="str">
        <x:v>NPS and DN</x:v>
      </x:c>
      <x:c r="G282" s="30" t="str">
        <x:v>NPS, DN and Pipe Outside Diameter Table</x:v>
      </x:c>
      <x:c r="H282" s="30" t="str">
        <x:v>Engineering Reference Data &gt; Pipes, Tubes, Fittings and Flanges &gt; Pipes &gt; NPS and DN &gt; NPS, DN and Pipe Outside Diameter Table</x:v>
      </x:c>
      <x:c r="I282" s="30" t="str">
        <x:v>—</x:v>
      </x:c>
      <x:c r="J282" s="30" t="str">
        <x:v>Planned — not started</x:v>
      </x:c>
      <x:c r="K282" s="30" t="str">
        <x:v>Reference data page</x:v>
      </x:c>
      <x:c r="L282" s="30" t="str">
        <x:v>Pending URL standard</x:v>
      </x:c>
      <x:c r="M282" s="30" t="str">
        <x:v>REF.nps_dn_and_pipe_outside_diameter_table</x:v>
      </x:c>
      <x:c r="N282" s="30" t="str">
        <x:v>Required: dimension sketch or property-table visual</x:v>
      </x:c>
      <x:c r="O282" s="30" t="str">
        <x:v>Per frozen page-format standard</x:v>
      </x:c>
      <x:c r="P282" s="30" t="str">
        <x:v>Fundamental textbooks only — assign before drafting</x:v>
      </x:c>
      <x:c r="Q282" s="30" t="str">
        <x:v>Not started</x:v>
      </x:c>
      <x:c r="R282" s="30" t="str">
        <x:v>Not published</x:v>
      </x:c>
      <x:c r="S282" s="31" t="str">
        <x:v>New knowledge/data page; prepare only after editorial workflow is approved.</x:v>
      </x:c>
    </x:row>
    <x:row r="283" ht="42" customHeight="1">
      <x:c r="A283" s="50" t="str">
        <x:v>ICH-REF-025</x:v>
      </x:c>
      <x:c r="B283" s="30" t="str">
        <x:v>Knowledge/data page</x:v>
      </x:c>
      <x:c r="C283" s="53" t="str">
        <x:v>Engineering Reference Data</x:v>
      </x:c>
      <x:c r="D283" s="30" t="str">
        <x:v>Pipes, Tubes, Fittings and Flanges</x:v>
      </x:c>
      <x:c r="E283" s="30" t="str">
        <x:v>Pipes</x:v>
      </x:c>
      <x:c r="F283" s="30" t="str">
        <x:v>Pipe Schedules</x:v>
      </x:c>
      <x:c r="G283" s="30" t="str">
        <x:v>Pipe Schedule, Wall Thickness and Inside Diameter Table</x:v>
      </x:c>
      <x:c r="H283" s="30" t="str">
        <x:v>Engineering Reference Data &gt; Pipes, Tubes, Fittings and Flanges &gt; Pipes &gt; Pipe Schedules &gt; Pipe Schedule, Wall Thickness and Inside Diameter Table</x:v>
      </x:c>
      <x:c r="I283" s="30" t="str">
        <x:v>—</x:v>
      </x:c>
      <x:c r="J283" s="30" t="str">
        <x:v>Planned — not started</x:v>
      </x:c>
      <x:c r="K283" s="30" t="str">
        <x:v>Reference data page</x:v>
      </x:c>
      <x:c r="L283" s="30" t="str">
        <x:v>Pending URL standard</x:v>
      </x:c>
      <x:c r="M283" s="30" t="str">
        <x:v>REF.pipe_schedule_wall_thickness_and_inside_diameter_table</x:v>
      </x:c>
      <x:c r="N283" s="30" t="str">
        <x:v>Required: dimension sketch or property-table visual</x:v>
      </x:c>
      <x:c r="O283" s="30" t="str">
        <x:v>Per frozen page-format standard</x:v>
      </x:c>
      <x:c r="P283" s="30" t="str">
        <x:v>Fundamental textbooks only — assign before drafting</x:v>
      </x:c>
      <x:c r="Q283" s="30" t="str">
        <x:v>Not started</x:v>
      </x:c>
      <x:c r="R283" s="30" t="str">
        <x:v>Not published</x:v>
      </x:c>
      <x:c r="S283" s="31" t="str">
        <x:v>New knowledge/data page; prepare only after editorial workflow is approved.</x:v>
      </x:c>
    </x:row>
    <x:row r="284" ht="42" customHeight="1">
      <x:c r="A284" s="50" t="str">
        <x:v>ICH-REF-026</x:v>
      </x:c>
      <x:c r="B284" s="30" t="str">
        <x:v>Knowledge/data page</x:v>
      </x:c>
      <x:c r="C284" s="53" t="str">
        <x:v>Engineering Reference Data</x:v>
      </x:c>
      <x:c r="D284" s="30" t="str">
        <x:v>Pipes, Tubes, Fittings and Flanges</x:v>
      </x:c>
      <x:c r="E284" s="30" t="str">
        <x:v>Pipes</x:v>
      </x:c>
      <x:c r="F284" s="30" t="str">
        <x:v>Special Pipe Classes</x:v>
      </x:c>
      <x:c r="G284" s="30" t="str">
        <x:v>STD, XS and XXS Pipe Dimension Table</x:v>
      </x:c>
      <x:c r="H284" s="30" t="str">
        <x:v>Engineering Reference Data &gt; Pipes, Tubes, Fittings and Flanges &gt; Pipes &gt; Special Pipe Classes &gt; STD, XS and XXS Pipe Dimension Table</x:v>
      </x:c>
      <x:c r="I284" s="30" t="str">
        <x:v>—</x:v>
      </x:c>
      <x:c r="J284" s="30" t="str">
        <x:v>Planned — not started</x:v>
      </x:c>
      <x:c r="K284" s="30" t="str">
        <x:v>Reference data page</x:v>
      </x:c>
      <x:c r="L284" s="30" t="str">
        <x:v>Pending URL standard</x:v>
      </x:c>
      <x:c r="M284" s="30" t="str">
        <x:v>REF.std_xs_and_xxs_pipe_dimension_table</x:v>
      </x:c>
      <x:c r="N284" s="30" t="str">
        <x:v>Required: dimension sketch or property-table visual</x:v>
      </x:c>
      <x:c r="O284" s="30" t="str">
        <x:v>Per frozen page-format standard</x:v>
      </x:c>
      <x:c r="P284" s="30" t="str">
        <x:v>Fundamental textbooks only — assign before drafting</x:v>
      </x:c>
      <x:c r="Q284" s="30" t="str">
        <x:v>Not started</x:v>
      </x:c>
      <x:c r="R284" s="30" t="str">
        <x:v>Not published</x:v>
      </x:c>
      <x:c r="S284" s="31" t="str">
        <x:v>New knowledge/data page; prepare only after editorial workflow is approved.</x:v>
      </x:c>
    </x:row>
    <x:row r="285" ht="42" customHeight="1">
      <x:c r="A285" s="50" t="str">
        <x:v>ICH-REF-027</x:v>
      </x:c>
      <x:c r="B285" s="30" t="str">
        <x:v>Knowledge/data page</x:v>
      </x:c>
      <x:c r="C285" s="53" t="str">
        <x:v>Engineering Reference Data</x:v>
      </x:c>
      <x:c r="D285" s="30" t="str">
        <x:v>Pipes, Tubes, Fittings and Flanges</x:v>
      </x:c>
      <x:c r="E285" s="30" t="str">
        <x:v>Tubes</x:v>
      </x:c>
      <x:c r="F285" s="30" t="str">
        <x:v>Boiler and Heat Exchanger Tubes</x:v>
      </x:c>
      <x:c r="G285" s="30" t="str">
        <x:v>Boiler Tube and Heat Exchanger Tube Dimensions</x:v>
      </x:c>
      <x:c r="H285" s="30" t="str">
        <x:v>Engineering Reference Data &gt; Pipes, Tubes, Fittings and Flanges &gt; Tubes &gt; Boiler and Heat Exchanger Tubes &gt; Boiler Tube and Heat Exchanger Tube Dimensions</x:v>
      </x:c>
      <x:c r="I285" s="30" t="str">
        <x:v>—</x:v>
      </x:c>
      <x:c r="J285" s="30" t="str">
        <x:v>Planned — not started</x:v>
      </x:c>
      <x:c r="K285" s="30" t="str">
        <x:v>Reference data page</x:v>
      </x:c>
      <x:c r="L285" s="30" t="str">
        <x:v>Pending URL standard</x:v>
      </x:c>
      <x:c r="M285" s="30" t="str">
        <x:v>REF.boiler_tube_and_heat_exchanger_tube_dimensions</x:v>
      </x:c>
      <x:c r="N285" s="30" t="str">
        <x:v>Required: dimension sketch or property-table visual</x:v>
      </x:c>
      <x:c r="O285" s="30" t="str">
        <x:v>Per frozen page-format standard</x:v>
      </x:c>
      <x:c r="P285" s="30" t="str">
        <x:v>Fundamental textbooks only — assign before drafting</x:v>
      </x:c>
      <x:c r="Q285" s="30" t="str">
        <x:v>Not started</x:v>
      </x:c>
      <x:c r="R285" s="30" t="str">
        <x:v>Not published</x:v>
      </x:c>
      <x:c r="S285" s="31" t="str">
        <x:v>New knowledge/data page; prepare only after editorial workflow is approved.</x:v>
      </x:c>
    </x:row>
    <x:row r="286" ht="42" customHeight="1">
      <x:c r="A286" s="50" t="str">
        <x:v>ICH-REF-028</x:v>
      </x:c>
      <x:c r="B286" s="30" t="str">
        <x:v>Knowledge/data page</x:v>
      </x:c>
      <x:c r="C286" s="53" t="str">
        <x:v>Engineering Reference Data</x:v>
      </x:c>
      <x:c r="D286" s="30" t="str">
        <x:v>Pipes, Tubes, Fittings and Flanges</x:v>
      </x:c>
      <x:c r="E286" s="30" t="str">
        <x:v>Tubes</x:v>
      </x:c>
      <x:c r="F286" s="30" t="str">
        <x:v>Instrument Tubing</x:v>
      </x:c>
      <x:c r="G286" s="30" t="str">
        <x:v>Instrument Tube OD and Wall Thickness Table</x:v>
      </x:c>
      <x:c r="H286" s="30" t="str">
        <x:v>Engineering Reference Data &gt; Pipes, Tubes, Fittings and Flanges &gt; Tubes &gt; Instrument Tubing &gt; Instrument Tube OD and Wall Thickness Table</x:v>
      </x:c>
      <x:c r="I286" s="30" t="str">
        <x:v>—</x:v>
      </x:c>
      <x:c r="J286" s="30" t="str">
        <x:v>Planned — not started</x:v>
      </x:c>
      <x:c r="K286" s="30" t="str">
        <x:v>Reference data page</x:v>
      </x:c>
      <x:c r="L286" s="30" t="str">
        <x:v>Pending URL standard</x:v>
      </x:c>
      <x:c r="M286" s="30" t="str">
        <x:v>REF.instrument_tube_od_and_wall_thickness_table</x:v>
      </x:c>
      <x:c r="N286" s="30" t="str">
        <x:v>Required: dimension sketch or property-table visual</x:v>
      </x:c>
      <x:c r="O286" s="30" t="str">
        <x:v>Per frozen page-format standard</x:v>
      </x:c>
      <x:c r="P286" s="30" t="str">
        <x:v>Fundamental textbooks only — assign before drafting</x:v>
      </x:c>
      <x:c r="Q286" s="30" t="str">
        <x:v>Not started</x:v>
      </x:c>
      <x:c r="R286" s="30" t="str">
        <x:v>Not published</x:v>
      </x:c>
      <x:c r="S286" s="31" t="str">
        <x:v>New knowledge/data page; prepare only after editorial workflow is approved.</x:v>
      </x:c>
    </x:row>
    <x:row r="287" ht="42" customHeight="1">
      <x:c r="A287" s="50" t="str">
        <x:v>ICH-REF-029</x:v>
      </x:c>
      <x:c r="B287" s="30" t="str">
        <x:v>Knowledge/data page</x:v>
      </x:c>
      <x:c r="C287" s="53" t="str">
        <x:v>Engineering Reference Data</x:v>
      </x:c>
      <x:c r="D287" s="30" t="str">
        <x:v>Pipes, Tubes, Fittings and Flanges</x:v>
      </x:c>
      <x:c r="E287" s="30" t="str">
        <x:v>Piping Components</x:v>
      </x:c>
      <x:c r="F287" s="30" t="str">
        <x:v>Fittings</x:v>
      </x:c>
      <x:c r="G287" s="30" t="str">
        <x:v>Elbow, Tee, Reducer and Cap Dimension Tables</x:v>
      </x:c>
      <x:c r="H287" s="30" t="str">
        <x:v>Engineering Reference Data &gt; Pipes, Tubes, Fittings and Flanges &gt; Piping Components &gt; Fittings &gt; Elbow, Tee, Reducer and Cap Dimension Tables</x:v>
      </x:c>
      <x:c r="I287" s="30" t="str">
        <x:v>—</x:v>
      </x:c>
      <x:c r="J287" s="30" t="str">
        <x:v>Planned — not started</x:v>
      </x:c>
      <x:c r="K287" s="30" t="str">
        <x:v>Reference data page</x:v>
      </x:c>
      <x:c r="L287" s="30" t="str">
        <x:v>Pending URL standard</x:v>
      </x:c>
      <x:c r="M287" s="30" t="str">
        <x:v>REF.elbow_tee_reducer_and_cap_dimension_tables</x:v>
      </x:c>
      <x:c r="N287" s="30" t="str">
        <x:v>Required: dimension sketch or property-table visual</x:v>
      </x:c>
      <x:c r="O287" s="30" t="str">
        <x:v>Per frozen page-format standard</x:v>
      </x:c>
      <x:c r="P287" s="30" t="str">
        <x:v>Fundamental textbooks only — assign before drafting</x:v>
      </x:c>
      <x:c r="Q287" s="30" t="str">
        <x:v>Not started</x:v>
      </x:c>
      <x:c r="R287" s="30" t="str">
        <x:v>Not published</x:v>
      </x:c>
      <x:c r="S287" s="31" t="str">
        <x:v>New knowledge/data page; prepare only after editorial workflow is approved.</x:v>
      </x:c>
    </x:row>
    <x:row r="288" ht="42" customHeight="1">
      <x:c r="A288" s="50" t="str">
        <x:v>ICH-REF-030</x:v>
      </x:c>
      <x:c r="B288" s="30" t="str">
        <x:v>Knowledge/data page</x:v>
      </x:c>
      <x:c r="C288" s="53" t="str">
        <x:v>Engineering Reference Data</x:v>
      </x:c>
      <x:c r="D288" s="30" t="str">
        <x:v>Pipes, Tubes, Fittings and Flanges</x:v>
      </x:c>
      <x:c r="E288" s="30" t="str">
        <x:v>Piping Components</x:v>
      </x:c>
      <x:c r="F288" s="30" t="str">
        <x:v>Flanges</x:v>
      </x:c>
      <x:c r="G288" s="30" t="str">
        <x:v>Flange Dimensions, Facing Types and Bolt Hole Tables</x:v>
      </x:c>
      <x:c r="H288" s="30" t="str">
        <x:v>Engineering Reference Data &gt; Pipes, Tubes, Fittings and Flanges &gt; Piping Components &gt; Flanges &gt; Flange Dimensions, Facing Types and Bolt Hole Tables</x:v>
      </x:c>
      <x:c r="I288" s="30" t="str">
        <x:v>—</x:v>
      </x:c>
      <x:c r="J288" s="30" t="str">
        <x:v>Planned — not started</x:v>
      </x:c>
      <x:c r="K288" s="30" t="str">
        <x:v>Reference data page</x:v>
      </x:c>
      <x:c r="L288" s="30" t="str">
        <x:v>Pending URL standard</x:v>
      </x:c>
      <x:c r="M288" s="30" t="str">
        <x:v>REF.flange_dimensions_facing_types_and_bolt_hole_tables</x:v>
      </x:c>
      <x:c r="N288" s="30" t="str">
        <x:v>Required: dimension sketch or property-table visual</x:v>
      </x:c>
      <x:c r="O288" s="30" t="str">
        <x:v>Per frozen page-format standard</x:v>
      </x:c>
      <x:c r="P288" s="30" t="str">
        <x:v>Fundamental textbooks only — assign before drafting</x:v>
      </x:c>
      <x:c r="Q288" s="30" t="str">
        <x:v>Not started</x:v>
      </x:c>
      <x:c r="R288" s="30" t="str">
        <x:v>Not published</x:v>
      </x:c>
      <x:c r="S288" s="31" t="str">
        <x:v>New knowledge/data page; prepare only after editorial workflow is approved.</x:v>
      </x:c>
    </x:row>
    <x:row r="289" ht="42" customHeight="1">
      <x:c r="A289" s="50" t="str">
        <x:v>ICH-REF-031</x:v>
      </x:c>
      <x:c r="B289" s="30" t="str">
        <x:v>Knowledge/data page</x:v>
      </x:c>
      <x:c r="C289" s="53" t="str">
        <x:v>Engineering Reference Data</x:v>
      </x:c>
      <x:c r="D289" s="30" t="str">
        <x:v>Rolled Sections and Hollow Sections</x:v>
      </x:c>
      <x:c r="E289" s="30" t="str">
        <x:v>Rolled Sections</x:v>
      </x:c>
      <x:c r="F289" s="30" t="str">
        <x:v>Angles and Channels</x:v>
      </x:c>
      <x:c r="G289" s="30" t="str">
        <x:v>Equal and Unequal Angle Size, Mass and Property Table</x:v>
      </x:c>
      <x:c r="H289" s="30" t="str">
        <x:v>Engineering Reference Data &gt; Rolled Sections and Hollow Sections &gt; Rolled Sections &gt; Angles and Channels &gt; Equal and Unequal Angle Size, Mass and Property Table</x:v>
      </x:c>
      <x:c r="I289" s="30" t="str">
        <x:v>—</x:v>
      </x:c>
      <x:c r="J289" s="30" t="str">
        <x:v>Planned — not started</x:v>
      </x:c>
      <x:c r="K289" s="30" t="str">
        <x:v>Reference data page</x:v>
      </x:c>
      <x:c r="L289" s="30" t="str">
        <x:v>Pending URL standard</x:v>
      </x:c>
      <x:c r="M289" s="30" t="str">
        <x:v>REF.equal_and_unequal_angle_size_mass_and_property_table</x:v>
      </x:c>
      <x:c r="N289" s="30" t="str">
        <x:v>Required: dimension sketch or property-table visual</x:v>
      </x:c>
      <x:c r="O289" s="30" t="str">
        <x:v>Per frozen page-format standard</x:v>
      </x:c>
      <x:c r="P289" s="30" t="str">
        <x:v>Fundamental textbooks only — assign before drafting</x:v>
      </x:c>
      <x:c r="Q289" s="30" t="str">
        <x:v>Not started</x:v>
      </x:c>
      <x:c r="R289" s="30" t="str">
        <x:v>Not published</x:v>
      </x:c>
      <x:c r="S289" s="31" t="str">
        <x:v>New knowledge/data page; prepare only after editorial workflow is approved.</x:v>
      </x:c>
    </x:row>
    <x:row r="290" ht="42" customHeight="1">
      <x:c r="A290" s="50" t="str">
        <x:v>ICH-REF-032</x:v>
      </x:c>
      <x:c r="B290" s="30" t="str">
        <x:v>Knowledge/data page</x:v>
      </x:c>
      <x:c r="C290" s="53" t="str">
        <x:v>Engineering Reference Data</x:v>
      </x:c>
      <x:c r="D290" s="30" t="str">
        <x:v>Rolled Sections and Hollow Sections</x:v>
      </x:c>
      <x:c r="E290" s="30" t="str">
        <x:v>Rolled Sections</x:v>
      </x:c>
      <x:c r="F290" s="30" t="str">
        <x:v>Angles and Channels</x:v>
      </x:c>
      <x:c r="G290" s="30" t="str">
        <x:v>Channel Size, Mass and Property Table</x:v>
      </x:c>
      <x:c r="H290" s="30" t="str">
        <x:v>Engineering Reference Data &gt; Rolled Sections and Hollow Sections &gt; Rolled Sections &gt; Angles and Channels &gt; Channel Size, Mass and Property Table</x:v>
      </x:c>
      <x:c r="I290" s="30" t="str">
        <x:v>—</x:v>
      </x:c>
      <x:c r="J290" s="30" t="str">
        <x:v>Planned — not started</x:v>
      </x:c>
      <x:c r="K290" s="30" t="str">
        <x:v>Reference data page</x:v>
      </x:c>
      <x:c r="L290" s="30" t="str">
        <x:v>Pending URL standard</x:v>
      </x:c>
      <x:c r="M290" s="30" t="str">
        <x:v>REF.channel_size_mass_and_property_table</x:v>
      </x:c>
      <x:c r="N290" s="30" t="str">
        <x:v>Required: dimension sketch or property-table visual</x:v>
      </x:c>
      <x:c r="O290" s="30" t="str">
        <x:v>Per frozen page-format standard</x:v>
      </x:c>
      <x:c r="P290" s="30" t="str">
        <x:v>Fundamental textbooks only — assign before drafting</x:v>
      </x:c>
      <x:c r="Q290" s="30" t="str">
        <x:v>Not started</x:v>
      </x:c>
      <x:c r="R290" s="30" t="str">
        <x:v>Not published</x:v>
      </x:c>
      <x:c r="S290" s="31" t="str">
        <x:v>New knowledge/data page; prepare only after editorial workflow is approved.</x:v>
      </x:c>
    </x:row>
    <x:row r="291" ht="42" customHeight="1">
      <x:c r="A291" s="50" t="str">
        <x:v>ICH-REF-033</x:v>
      </x:c>
      <x:c r="B291" s="30" t="str">
        <x:v>Knowledge/data page</x:v>
      </x:c>
      <x:c r="C291" s="53" t="str">
        <x:v>Engineering Reference Data</x:v>
      </x:c>
      <x:c r="D291" s="30" t="str">
        <x:v>Rolled Sections and Hollow Sections</x:v>
      </x:c>
      <x:c r="E291" s="30" t="str">
        <x:v>Rolled Sections</x:v>
      </x:c>
      <x:c r="F291" s="30" t="str">
        <x:v>Beams and Columns</x:v>
      </x:c>
      <x:c r="G291" s="30" t="str">
        <x:v>I Beam and H Beam Size, Mass and Property Table</x:v>
      </x:c>
      <x:c r="H291" s="30" t="str">
        <x:v>Engineering Reference Data &gt; Rolled Sections and Hollow Sections &gt; Rolled Sections &gt; Beams and Columns &gt; I Beam and H Beam Size, Mass and Property Table</x:v>
      </x:c>
      <x:c r="I291" s="30" t="str">
        <x:v>—</x:v>
      </x:c>
      <x:c r="J291" s="30" t="str">
        <x:v>Planned — not started</x:v>
      </x:c>
      <x:c r="K291" s="30" t="str">
        <x:v>Reference data page</x:v>
      </x:c>
      <x:c r="L291" s="30" t="str">
        <x:v>Pending URL standard</x:v>
      </x:c>
      <x:c r="M291" s="30" t="str">
        <x:v>REF.i_beam_and_h_beam_size_mass_and_property_table</x:v>
      </x:c>
      <x:c r="N291" s="30" t="str">
        <x:v>Required: dimension sketch or property-table visual</x:v>
      </x:c>
      <x:c r="O291" s="30" t="str">
        <x:v>Per frozen page-format standard</x:v>
      </x:c>
      <x:c r="P291" s="30" t="str">
        <x:v>Fundamental textbooks only — assign before drafting</x:v>
      </x:c>
      <x:c r="Q291" s="30" t="str">
        <x:v>Not started</x:v>
      </x:c>
      <x:c r="R291" s="30" t="str">
        <x:v>Not published</x:v>
      </x:c>
      <x:c r="S291" s="31" t="str">
        <x:v>New knowledge/data page; prepare only after editorial workflow is approved.</x:v>
      </x:c>
    </x:row>
    <x:row r="292" ht="42" customHeight="1">
      <x:c r="A292" s="50" t="str">
        <x:v>ICH-REF-034</x:v>
      </x:c>
      <x:c r="B292" s="30" t="str">
        <x:v>Knowledge/data page</x:v>
      </x:c>
      <x:c r="C292" s="53" t="str">
        <x:v>Engineering Reference Data</x:v>
      </x:c>
      <x:c r="D292" s="30" t="str">
        <x:v>Rolled Sections and Hollow Sections</x:v>
      </x:c>
      <x:c r="E292" s="30" t="str">
        <x:v>Rolled Sections</x:v>
      </x:c>
      <x:c r="F292" s="30" t="str">
        <x:v>Beams and Columns</x:v>
      </x:c>
      <x:c r="G292" s="30" t="str">
        <x:v>Narrow and Wide Parallel Flange Beam Table</x:v>
      </x:c>
      <x:c r="H292" s="30" t="str">
        <x:v>Engineering Reference Data &gt; Rolled Sections and Hollow Sections &gt; Rolled Sections &gt; Beams and Columns &gt; Narrow and Wide Parallel Flange Beam Table</x:v>
      </x:c>
      <x:c r="I292" s="30" t="str">
        <x:v>—</x:v>
      </x:c>
      <x:c r="J292" s="30" t="str">
        <x:v>Planned — not started</x:v>
      </x:c>
      <x:c r="K292" s="30" t="str">
        <x:v>Reference data page</x:v>
      </x:c>
      <x:c r="L292" s="30" t="str">
        <x:v>Pending URL standard</x:v>
      </x:c>
      <x:c r="M292" s="30" t="str">
        <x:v>REF.narrow_and_wide_parallel_flange_beam_table</x:v>
      </x:c>
      <x:c r="N292" s="30" t="str">
        <x:v>Required: dimension sketch or property-table visual</x:v>
      </x:c>
      <x:c r="O292" s="30" t="str">
        <x:v>Per frozen page-format standard</x:v>
      </x:c>
      <x:c r="P292" s="30" t="str">
        <x:v>Fundamental textbooks only — assign before drafting</x:v>
      </x:c>
      <x:c r="Q292" s="30" t="str">
        <x:v>Not started</x:v>
      </x:c>
      <x:c r="R292" s="30" t="str">
        <x:v>Not published</x:v>
      </x:c>
      <x:c r="S292" s="31" t="str">
        <x:v>New knowledge/data page; prepare only after editorial workflow is approved.</x:v>
      </x:c>
    </x:row>
    <x:row r="293" ht="42" customHeight="1">
      <x:c r="A293" s="50" t="str">
        <x:v>ICH-REF-035</x:v>
      </x:c>
      <x:c r="B293" s="30" t="str">
        <x:v>Knowledge/data page</x:v>
      </x:c>
      <x:c r="C293" s="53" t="str">
        <x:v>Engineering Reference Data</x:v>
      </x:c>
      <x:c r="D293" s="30" t="str">
        <x:v>Rolled Sections and Hollow Sections</x:v>
      </x:c>
      <x:c r="E293" s="30" t="str">
        <x:v>Rolled Sections</x:v>
      </x:c>
      <x:c r="F293" s="30" t="str">
        <x:v>Beams and Columns</x:v>
      </x:c>
      <x:c r="G293" s="30" t="str">
        <x:v>Column and Universal Beam Property Table</x:v>
      </x:c>
      <x:c r="H293" s="30" t="str">
        <x:v>Engineering Reference Data &gt; Rolled Sections and Hollow Sections &gt; Rolled Sections &gt; Beams and Columns &gt; Column and Universal Beam Property Table</x:v>
      </x:c>
      <x:c r="I293" s="30" t="str">
        <x:v>—</x:v>
      </x:c>
      <x:c r="J293" s="30" t="str">
        <x:v>Planned — not started</x:v>
      </x:c>
      <x:c r="K293" s="30" t="str">
        <x:v>Reference data page</x:v>
      </x:c>
      <x:c r="L293" s="30" t="str">
        <x:v>Pending URL standard</x:v>
      </x:c>
      <x:c r="M293" s="30" t="str">
        <x:v>REF.column_and_universal_beam_property_table</x:v>
      </x:c>
      <x:c r="N293" s="30" t="str">
        <x:v>Required: dimension sketch or property-table visual</x:v>
      </x:c>
      <x:c r="O293" s="30" t="str">
        <x:v>Per frozen page-format standard</x:v>
      </x:c>
      <x:c r="P293" s="30" t="str">
        <x:v>Fundamental textbooks only — assign before drafting</x:v>
      </x:c>
      <x:c r="Q293" s="30" t="str">
        <x:v>Not started</x:v>
      </x:c>
      <x:c r="R293" s="30" t="str">
        <x:v>Not published</x:v>
      </x:c>
      <x:c r="S293" s="31" t="str">
        <x:v>New knowledge/data page; prepare only after editorial workflow is approved.</x:v>
      </x:c>
    </x:row>
    <x:row r="294" ht="42" customHeight="1">
      <x:c r="A294" s="50" t="str">
        <x:v>ICH-REF-036</x:v>
      </x:c>
      <x:c r="B294" s="30" t="str">
        <x:v>Knowledge/data page</x:v>
      </x:c>
      <x:c r="C294" s="53" t="str">
        <x:v>Engineering Reference Data</x:v>
      </x:c>
      <x:c r="D294" s="30" t="str">
        <x:v>Rolled Sections and Hollow Sections</x:v>
      </x:c>
      <x:c r="E294" s="30" t="str">
        <x:v>Rolled Sections</x:v>
      </x:c>
      <x:c r="F294" s="30" t="str">
        <x:v>Section Properties</x:v>
      </x:c>
      <x:c r="G294" s="30" t="str">
        <x:v>Area, Moment of Inertia, Radius of Gyration and Section Modulus</x:v>
      </x:c>
      <x:c r="H294" s="30" t="str">
        <x:v>Engineering Reference Data &gt; Rolled Sections and Hollow Sections &gt; Rolled Sections &gt; Section Properties &gt; Area, Moment of Inertia, Radius of Gyration and Section Modulus</x:v>
      </x:c>
      <x:c r="I294" s="30" t="str">
        <x:v>—</x:v>
      </x:c>
      <x:c r="J294" s="30" t="str">
        <x:v>Planned — not started</x:v>
      </x:c>
      <x:c r="K294" s="30" t="str">
        <x:v>Reference data page</x:v>
      </x:c>
      <x:c r="L294" s="30" t="str">
        <x:v>Pending URL standard</x:v>
      </x:c>
      <x:c r="M294" s="30" t="str">
        <x:v>REF.area_moment_of_inertia_radius_of_gyration_and_section_modulus</x:v>
      </x:c>
      <x:c r="N294" s="30" t="str">
        <x:v>Required: dimension sketch or property-table visual</x:v>
      </x:c>
      <x:c r="O294" s="30" t="str">
        <x:v>Per frozen page-format standard</x:v>
      </x:c>
      <x:c r="P294" s="30" t="str">
        <x:v>Fundamental textbooks only — assign before drafting</x:v>
      </x:c>
      <x:c r="Q294" s="30" t="str">
        <x:v>Not started</x:v>
      </x:c>
      <x:c r="R294" s="30" t="str">
        <x:v>Not published</x:v>
      </x:c>
      <x:c r="S294" s="31" t="str">
        <x:v>New knowledge/data page; prepare only after editorial workflow is approved.</x:v>
      </x:c>
    </x:row>
    <x:row r="295" ht="42" customHeight="1">
      <x:c r="A295" s="50" t="str">
        <x:v>ICH-REF-037</x:v>
      </x:c>
      <x:c r="B295" s="30" t="str">
        <x:v>Knowledge/data page</x:v>
      </x:c>
      <x:c r="C295" s="53" t="str">
        <x:v>Engineering Reference Data</x:v>
      </x:c>
      <x:c r="D295" s="30" t="str">
        <x:v>Rolled Sections and Hollow Sections</x:v>
      </x:c>
      <x:c r="E295" s="30" t="str">
        <x:v>Hollow Sections</x:v>
      </x:c>
      <x:c r="F295" s="30" t="str">
        <x:v>Circular Hollow Sections</x:v>
      </x:c>
      <x:c r="G295" s="30" t="str">
        <x:v>CHS Size, Mass and Property Table</x:v>
      </x:c>
      <x:c r="H295" s="30" t="str">
        <x:v>Engineering Reference Data &gt; Rolled Sections and Hollow Sections &gt; Hollow Sections &gt; Circular Hollow Sections &gt; CHS Size, Mass and Property Table</x:v>
      </x:c>
      <x:c r="I295" s="30" t="str">
        <x:v>—</x:v>
      </x:c>
      <x:c r="J295" s="30" t="str">
        <x:v>Planned — not started</x:v>
      </x:c>
      <x:c r="K295" s="30" t="str">
        <x:v>Reference data page</x:v>
      </x:c>
      <x:c r="L295" s="30" t="str">
        <x:v>Pending URL standard</x:v>
      </x:c>
      <x:c r="M295" s="30" t="str">
        <x:v>REF.chs_size_mass_and_property_table</x:v>
      </x:c>
      <x:c r="N295" s="30" t="str">
        <x:v>Required: dimension sketch or property-table visual</x:v>
      </x:c>
      <x:c r="O295" s="30" t="str">
        <x:v>Per frozen page-format standard</x:v>
      </x:c>
      <x:c r="P295" s="30" t="str">
        <x:v>Fundamental textbooks only — assign before drafting</x:v>
      </x:c>
      <x:c r="Q295" s="30" t="str">
        <x:v>Not started</x:v>
      </x:c>
      <x:c r="R295" s="30" t="str">
        <x:v>Not published</x:v>
      </x:c>
      <x:c r="S295" s="31" t="str">
        <x:v>New knowledge/data page; prepare only after editorial workflow is approved.</x:v>
      </x:c>
    </x:row>
    <x:row r="296" ht="42" customHeight="1">
      <x:c r="A296" s="50" t="str">
        <x:v>ICH-REF-038</x:v>
      </x:c>
      <x:c r="B296" s="30" t="str">
        <x:v>Knowledge/data page</x:v>
      </x:c>
      <x:c r="C296" s="53" t="str">
        <x:v>Engineering Reference Data</x:v>
      </x:c>
      <x:c r="D296" s="30" t="str">
        <x:v>Rolled Sections and Hollow Sections</x:v>
      </x:c>
      <x:c r="E296" s="30" t="str">
        <x:v>Hollow Sections</x:v>
      </x:c>
      <x:c r="F296" s="30" t="str">
        <x:v>Square Hollow Sections</x:v>
      </x:c>
      <x:c r="G296" s="30" t="str">
        <x:v>SHS Size, Mass and Property Table</x:v>
      </x:c>
      <x:c r="H296" s="30" t="str">
        <x:v>Engineering Reference Data &gt; Rolled Sections and Hollow Sections &gt; Hollow Sections &gt; Square Hollow Sections &gt; SHS Size, Mass and Property Table</x:v>
      </x:c>
      <x:c r="I296" s="30" t="str">
        <x:v>—</x:v>
      </x:c>
      <x:c r="J296" s="30" t="str">
        <x:v>Planned — not started</x:v>
      </x:c>
      <x:c r="K296" s="30" t="str">
        <x:v>Reference data page</x:v>
      </x:c>
      <x:c r="L296" s="30" t="str">
        <x:v>Pending URL standard</x:v>
      </x:c>
      <x:c r="M296" s="30" t="str">
        <x:v>REF.shs_size_mass_and_property_table</x:v>
      </x:c>
      <x:c r="N296" s="30" t="str">
        <x:v>Required: dimension sketch or property-table visual</x:v>
      </x:c>
      <x:c r="O296" s="30" t="str">
        <x:v>Per frozen page-format standard</x:v>
      </x:c>
      <x:c r="P296" s="30" t="str">
        <x:v>Fundamental textbooks only — assign before drafting</x:v>
      </x:c>
      <x:c r="Q296" s="30" t="str">
        <x:v>Not started</x:v>
      </x:c>
      <x:c r="R296" s="30" t="str">
        <x:v>Not published</x:v>
      </x:c>
      <x:c r="S296" s="31" t="str">
        <x:v>New knowledge/data page; prepare only after editorial workflow is approved.</x:v>
      </x:c>
    </x:row>
    <x:row r="297" ht="42" customHeight="1">
      <x:c r="A297" s="50" t="str">
        <x:v>ICH-REF-039</x:v>
      </x:c>
      <x:c r="B297" s="30" t="str">
        <x:v>Knowledge/data page</x:v>
      </x:c>
      <x:c r="C297" s="53" t="str">
        <x:v>Engineering Reference Data</x:v>
      </x:c>
      <x:c r="D297" s="30" t="str">
        <x:v>Rolled Sections and Hollow Sections</x:v>
      </x:c>
      <x:c r="E297" s="30" t="str">
        <x:v>Hollow Sections</x:v>
      </x:c>
      <x:c r="F297" s="30" t="str">
        <x:v>Rectangular Hollow Sections</x:v>
      </x:c>
      <x:c r="G297" s="30" t="str">
        <x:v>RHS Size, Mass and Property Table</x:v>
      </x:c>
      <x:c r="H297" s="30" t="str">
        <x:v>Engineering Reference Data &gt; Rolled Sections and Hollow Sections &gt; Hollow Sections &gt; Rectangular Hollow Sections &gt; RHS Size, Mass and Property Table</x:v>
      </x:c>
      <x:c r="I297" s="30" t="str">
        <x:v>—</x:v>
      </x:c>
      <x:c r="J297" s="30" t="str">
        <x:v>Planned — not started</x:v>
      </x:c>
      <x:c r="K297" s="30" t="str">
        <x:v>Reference data page</x:v>
      </x:c>
      <x:c r="L297" s="30" t="str">
        <x:v>Pending URL standard</x:v>
      </x:c>
      <x:c r="M297" s="30" t="str">
        <x:v>REF.rhs_size_mass_and_property_table</x:v>
      </x:c>
      <x:c r="N297" s="30" t="str">
        <x:v>Required: dimension sketch or property-table visual</x:v>
      </x:c>
      <x:c r="O297" s="30" t="str">
        <x:v>Per frozen page-format standard</x:v>
      </x:c>
      <x:c r="P297" s="30" t="str">
        <x:v>Fundamental textbooks only — assign before drafting</x:v>
      </x:c>
      <x:c r="Q297" s="30" t="str">
        <x:v>Not started</x:v>
      </x:c>
      <x:c r="R297" s="30" t="str">
        <x:v>Not published</x:v>
      </x:c>
      <x:c r="S297" s="31" t="str">
        <x:v>New knowledge/data page; prepare only after editorial workflow is approved.</x:v>
      </x:c>
    </x:row>
    <x:row r="298" ht="42" customHeight="1">
      <x:c r="A298" s="50" t="str">
        <x:v>ICH-REF-040</x:v>
      </x:c>
      <x:c r="B298" s="30" t="str">
        <x:v>Knowledge/data page</x:v>
      </x:c>
      <x:c r="C298" s="53" t="str">
        <x:v>Engineering Reference Data</x:v>
      </x:c>
      <x:c r="D298" s="30" t="str">
        <x:v>Gaskets, Fasteners, Hardware and Welding Consumables</x:v>
      </x:c>
      <x:c r="E298" s="30" t="str">
        <x:v>Gaskets and Seals</x:v>
      </x:c>
      <x:c r="F298" s="30" t="str">
        <x:v>Sheet and Soft Gaskets</x:v>
      </x:c>
      <x:c r="G298" s="30" t="str">
        <x:v>Non-Asbestos, Rubber, PTFE and Graphite Gasket Guide</x:v>
      </x:c>
      <x:c r="H298" s="30" t="str">
        <x:v>Engineering Reference Data &gt; Gaskets, Fasteners, Hardware and Welding Consumables &gt; Gaskets and Seals &gt; Sheet and Soft Gaskets &gt; Non-Asbestos, Rubber, PTFE and Graphite Gasket Guide</x:v>
      </x:c>
      <x:c r="I298" s="30" t="str">
        <x:v>—</x:v>
      </x:c>
      <x:c r="J298" s="30" t="str">
        <x:v>Planned — not started</x:v>
      </x:c>
      <x:c r="K298" s="30" t="str">
        <x:v>Reference data page</x:v>
      </x:c>
      <x:c r="L298" s="30" t="str">
        <x:v>Pending URL standard</x:v>
      </x:c>
      <x:c r="M298" s="30" t="str">
        <x:v>REF.non_asbestos_rubber_ptfe_and_graphite_gasket_guide</x:v>
      </x:c>
      <x:c r="N298" s="30" t="str">
        <x:v>Required: dimension sketch or property-table visual</x:v>
      </x:c>
      <x:c r="O298" s="30" t="str">
        <x:v>Per frozen page-format standard</x:v>
      </x:c>
      <x:c r="P298" s="30" t="str">
        <x:v>Fundamental textbooks only — assign before drafting</x:v>
      </x:c>
      <x:c r="Q298" s="30" t="str">
        <x:v>Not started</x:v>
      </x:c>
      <x:c r="R298" s="30" t="str">
        <x:v>Not published</x:v>
      </x:c>
      <x:c r="S298" s="31" t="str">
        <x:v>New knowledge/data page; prepare only after editorial workflow is approved.</x:v>
      </x:c>
    </x:row>
    <x:row r="299" ht="42" customHeight="1">
      <x:c r="A299" s="50" t="str">
        <x:v>ICH-REF-041</x:v>
      </x:c>
      <x:c r="B299" s="30" t="str">
        <x:v>Knowledge/data page</x:v>
      </x:c>
      <x:c r="C299" s="53" t="str">
        <x:v>Engineering Reference Data</x:v>
      </x:c>
      <x:c r="D299" s="30" t="str">
        <x:v>Gaskets, Fasteners, Hardware and Welding Consumables</x:v>
      </x:c>
      <x:c r="E299" s="30" t="str">
        <x:v>Gaskets and Seals</x:v>
      </x:c>
      <x:c r="F299" s="30" t="str">
        <x:v>Metallic Gaskets</x:v>
      </x:c>
      <x:c r="G299" s="30" t="str">
        <x:v>Spiral Wound, RTJ and Camprofile Gasket Guide</x:v>
      </x:c>
      <x:c r="H299" s="30" t="str">
        <x:v>Engineering Reference Data &gt; Gaskets, Fasteners, Hardware and Welding Consumables &gt; Gaskets and Seals &gt; Metallic Gaskets &gt; Spiral Wound, RTJ and Camprofile Gasket Guide</x:v>
      </x:c>
      <x:c r="I299" s="30" t="str">
        <x:v>—</x:v>
      </x:c>
      <x:c r="J299" s="30" t="str">
        <x:v>Planned — not started</x:v>
      </x:c>
      <x:c r="K299" s="30" t="str">
        <x:v>Reference data page</x:v>
      </x:c>
      <x:c r="L299" s="30" t="str">
        <x:v>Pending URL standard</x:v>
      </x:c>
      <x:c r="M299" s="30" t="str">
        <x:v>REF.spiral_wound_rtj_and_camprofile_gasket_guide</x:v>
      </x:c>
      <x:c r="N299" s="30" t="str">
        <x:v>Required: dimension sketch or property-table visual</x:v>
      </x:c>
      <x:c r="O299" s="30" t="str">
        <x:v>Per frozen page-format standard</x:v>
      </x:c>
      <x:c r="P299" s="30" t="str">
        <x:v>Fundamental textbooks only — assign before drafting</x:v>
      </x:c>
      <x:c r="Q299" s="30" t="str">
        <x:v>Not started</x:v>
      </x:c>
      <x:c r="R299" s="30" t="str">
        <x:v>Not published</x:v>
      </x:c>
      <x:c r="S299" s="31" t="str">
        <x:v>New knowledge/data page; prepare only after editorial workflow is approved.</x:v>
      </x:c>
    </x:row>
    <x:row r="300" ht="42" customHeight="1">
      <x:c r="A300" s="50" t="str">
        <x:v>ICH-REF-042</x:v>
      </x:c>
      <x:c r="B300" s="30" t="str">
        <x:v>Knowledge/data page</x:v>
      </x:c>
      <x:c r="C300" s="53" t="str">
        <x:v>Engineering Reference Data</x:v>
      </x:c>
      <x:c r="D300" s="30" t="str">
        <x:v>Gaskets, Fasteners, Hardware and Welding Consumables</x:v>
      </x:c>
      <x:c r="E300" s="30" t="str">
        <x:v>Gaskets and Seals</x:v>
      </x:c>
      <x:c r="F300" s="30" t="str">
        <x:v>Seals and Packing</x:v>
      </x:c>
      <x:c r="G300" s="30" t="str">
        <x:v>O-Rings, Mechanical Seals and Gland Packing Guide</x:v>
      </x:c>
      <x:c r="H300" s="30" t="str">
        <x:v>Engineering Reference Data &gt; Gaskets, Fasteners, Hardware and Welding Consumables &gt; Gaskets and Seals &gt; Seals and Packing &gt; O-Rings, Mechanical Seals and Gland Packing Guide</x:v>
      </x:c>
      <x:c r="I300" s="30" t="str">
        <x:v>—</x:v>
      </x:c>
      <x:c r="J300" s="30" t="str">
        <x:v>Planned — not started</x:v>
      </x:c>
      <x:c r="K300" s="30" t="str">
        <x:v>Reference data page</x:v>
      </x:c>
      <x:c r="L300" s="30" t="str">
        <x:v>Pending URL standard</x:v>
      </x:c>
      <x:c r="M300" s="30" t="str">
        <x:v>REF.o_rings_mechanical_seals_and_gland_packing_guide</x:v>
      </x:c>
      <x:c r="N300" s="30" t="str">
        <x:v>Required: dimension sketch or property-table visual</x:v>
      </x:c>
      <x:c r="O300" s="30" t="str">
        <x:v>Per frozen page-format standard</x:v>
      </x:c>
      <x:c r="P300" s="30" t="str">
        <x:v>Fundamental textbooks only — assign before drafting</x:v>
      </x:c>
      <x:c r="Q300" s="30" t="str">
        <x:v>Not started</x:v>
      </x:c>
      <x:c r="R300" s="30" t="str">
        <x:v>Not published</x:v>
      </x:c>
      <x:c r="S300" s="31" t="str">
        <x:v>New knowledge/data page; prepare only after editorial workflow is approved.</x:v>
      </x:c>
    </x:row>
    <x:row r="301" ht="42" customHeight="1">
      <x:c r="A301" s="50" t="str">
        <x:v>ICH-REF-043</x:v>
      </x:c>
      <x:c r="B301" s="30" t="str">
        <x:v>Knowledge/data page</x:v>
      </x:c>
      <x:c r="C301" s="53" t="str">
        <x:v>Engineering Reference Data</x:v>
      </x:c>
      <x:c r="D301" s="30" t="str">
        <x:v>Gaskets, Fasteners, Hardware and Welding Consumables</x:v>
      </x:c>
      <x:c r="E301" s="30" t="str">
        <x:v>Fasteners and Hardware</x:v>
      </x:c>
      <x:c r="F301" s="30" t="str">
        <x:v>Bolting</x:v>
      </x:c>
      <x:c r="G301" s="30" t="str">
        <x:v>Bolt, Nut and Washer Dimensions</x:v>
      </x:c>
      <x:c r="H301" s="30" t="str">
        <x:v>Engineering Reference Data &gt; Gaskets, Fasteners, Hardware and Welding Consumables &gt; Fasteners and Hardware &gt; Bolting &gt; Bolt, Nut and Washer Dimensions</x:v>
      </x:c>
      <x:c r="I301" s="30" t="str">
        <x:v>—</x:v>
      </x:c>
      <x:c r="J301" s="30" t="str">
        <x:v>Planned — not started</x:v>
      </x:c>
      <x:c r="K301" s="30" t="str">
        <x:v>Reference data page</x:v>
      </x:c>
      <x:c r="L301" s="30" t="str">
        <x:v>Pending URL standard</x:v>
      </x:c>
      <x:c r="M301" s="30" t="str">
        <x:v>REF.bolt_nut_and_washer_dimensions</x:v>
      </x:c>
      <x:c r="N301" s="30" t="str">
        <x:v>Required: dimension sketch or property-table visual</x:v>
      </x:c>
      <x:c r="O301" s="30" t="str">
        <x:v>Per frozen page-format standard</x:v>
      </x:c>
      <x:c r="P301" s="30" t="str">
        <x:v>Fundamental textbooks only — assign before drafting</x:v>
      </x:c>
      <x:c r="Q301" s="30" t="str">
        <x:v>Not started</x:v>
      </x:c>
      <x:c r="R301" s="30" t="str">
        <x:v>Not published</x:v>
      </x:c>
      <x:c r="S301" s="31" t="str">
        <x:v>New knowledge/data page; prepare only after editorial workflow is approved.</x:v>
      </x:c>
    </x:row>
    <x:row r="302" ht="42" customHeight="1">
      <x:c r="A302" s="50" t="str">
        <x:v>ICH-REF-044</x:v>
      </x:c>
      <x:c r="B302" s="30" t="str">
        <x:v>Knowledge/data page</x:v>
      </x:c>
      <x:c r="C302" s="53" t="str">
        <x:v>Engineering Reference Data</x:v>
      </x:c>
      <x:c r="D302" s="30" t="str">
        <x:v>Gaskets, Fasteners, Hardware and Welding Consumables</x:v>
      </x:c>
      <x:c r="E302" s="30" t="str">
        <x:v>Fasteners and Hardware</x:v>
      </x:c>
      <x:c r="F302" s="30" t="str">
        <x:v>Bolting</x:v>
      </x:c>
      <x:c r="G302" s="30" t="str">
        <x:v>Stud Bolts and Threaded Rod Dimensions</x:v>
      </x:c>
      <x:c r="H302" s="30" t="str">
        <x:v>Engineering Reference Data &gt; Gaskets, Fasteners, Hardware and Welding Consumables &gt; Fasteners and Hardware &gt; Bolting &gt; Stud Bolts and Threaded Rod Dimensions</x:v>
      </x:c>
      <x:c r="I302" s="30" t="str">
        <x:v>—</x:v>
      </x:c>
      <x:c r="J302" s="30" t="str">
        <x:v>Planned — not started</x:v>
      </x:c>
      <x:c r="K302" s="30" t="str">
        <x:v>Reference data page</x:v>
      </x:c>
      <x:c r="L302" s="30" t="str">
        <x:v>Pending URL standard</x:v>
      </x:c>
      <x:c r="M302" s="30" t="str">
        <x:v>REF.stud_bolts_and_threaded_rod_dimensions</x:v>
      </x:c>
      <x:c r="N302" s="30" t="str">
        <x:v>Required: dimension sketch or property-table visual</x:v>
      </x:c>
      <x:c r="O302" s="30" t="str">
        <x:v>Per frozen page-format standard</x:v>
      </x:c>
      <x:c r="P302" s="30" t="str">
        <x:v>Fundamental textbooks only — assign before drafting</x:v>
      </x:c>
      <x:c r="Q302" s="30" t="str">
        <x:v>Not started</x:v>
      </x:c>
      <x:c r="R302" s="30" t="str">
        <x:v>Not published</x:v>
      </x:c>
      <x:c r="S302" s="31" t="str">
        <x:v>New knowledge/data page; prepare only after editorial workflow is approved.</x:v>
      </x:c>
    </x:row>
    <x:row r="303" ht="42" customHeight="1">
      <x:c r="A303" s="50" t="str">
        <x:v>ICH-REF-045</x:v>
      </x:c>
      <x:c r="B303" s="30" t="str">
        <x:v>Knowledge/data page</x:v>
      </x:c>
      <x:c r="C303" s="53" t="str">
        <x:v>Engineering Reference Data</x:v>
      </x:c>
      <x:c r="D303" s="30" t="str">
        <x:v>Gaskets, Fasteners, Hardware and Welding Consumables</x:v>
      </x:c>
      <x:c r="E303" s="30" t="str">
        <x:v>Fasteners and Hardware</x:v>
      </x:c>
      <x:c r="F303" s="30" t="str">
        <x:v>Anchoring and Supports</x:v>
      </x:c>
      <x:c r="G303" s="30" t="str">
        <x:v>Anchor Bolts, U-Bolts, Clamps and Pipe Support Hardware</x:v>
      </x:c>
      <x:c r="H303" s="30" t="str">
        <x:v>Engineering Reference Data &gt; Gaskets, Fasteners, Hardware and Welding Consumables &gt; Fasteners and Hardware &gt; Anchoring and Supports &gt; Anchor Bolts, U-Bolts, Clamps and Pipe Support Hardware</x:v>
      </x:c>
      <x:c r="I303" s="30" t="str">
        <x:v>—</x:v>
      </x:c>
      <x:c r="J303" s="30" t="str">
        <x:v>Planned — not started</x:v>
      </x:c>
      <x:c r="K303" s="30" t="str">
        <x:v>Reference data page</x:v>
      </x:c>
      <x:c r="L303" s="30" t="str">
        <x:v>Pending URL standard</x:v>
      </x:c>
      <x:c r="M303" s="30" t="str">
        <x:v>REF.anchor_bolts_u_bolts_clamps_and_pipe_support_hardware</x:v>
      </x:c>
      <x:c r="N303" s="30" t="str">
        <x:v>Required: dimension sketch or property-table visual</x:v>
      </x:c>
      <x:c r="O303" s="30" t="str">
        <x:v>Per frozen page-format standard</x:v>
      </x:c>
      <x:c r="P303" s="30" t="str">
        <x:v>Fundamental textbooks only — assign before drafting</x:v>
      </x:c>
      <x:c r="Q303" s="30" t="str">
        <x:v>Not started</x:v>
      </x:c>
      <x:c r="R303" s="30" t="str">
        <x:v>Not published</x:v>
      </x:c>
      <x:c r="S303" s="31" t="str">
        <x:v>New knowledge/data page; prepare only after editorial workflow is approved.</x:v>
      </x:c>
    </x:row>
    <x:row r="304" ht="42" customHeight="1">
      <x:c r="A304" s="50" t="str">
        <x:v>ICH-REF-046</x:v>
      </x:c>
      <x:c r="B304" s="30" t="str">
        <x:v>Knowledge/data page</x:v>
      </x:c>
      <x:c r="C304" s="53" t="str">
        <x:v>Engineering Reference Data</x:v>
      </x:c>
      <x:c r="D304" s="30" t="str">
        <x:v>Gaskets, Fasteners, Hardware and Welding Consumables</x:v>
      </x:c>
      <x:c r="E304" s="30" t="str">
        <x:v>Fasteners and Hardware</x:v>
      </x:c>
      <x:c r="F304" s="30" t="str">
        <x:v>General Hardware</x:v>
      </x:c>
      <x:c r="G304" s="30" t="str">
        <x:v>Pins, Rivets, Keys, Grating Clips and Cable Tray Hardware</x:v>
      </x:c>
      <x:c r="H304" s="30" t="str">
        <x:v>Engineering Reference Data &gt; Gaskets, Fasteners, Hardware and Welding Consumables &gt; Fasteners and Hardware &gt; General Hardware &gt; Pins, Rivets, Keys, Grating Clips and Cable Tray Hardware</x:v>
      </x:c>
      <x:c r="I304" s="30" t="str">
        <x:v>—</x:v>
      </x:c>
      <x:c r="J304" s="30" t="str">
        <x:v>Planned — not started</x:v>
      </x:c>
      <x:c r="K304" s="30" t="str">
        <x:v>Reference data page</x:v>
      </x:c>
      <x:c r="L304" s="30" t="str">
        <x:v>Pending URL standard</x:v>
      </x:c>
      <x:c r="M304" s="30" t="str">
        <x:v>REF.pins_rivets_keys_grating_clips_and_cable_tray_hardware</x:v>
      </x:c>
      <x:c r="N304" s="30" t="str">
        <x:v>Required: dimension sketch or property-table visual</x:v>
      </x:c>
      <x:c r="O304" s="30" t="str">
        <x:v>Per frozen page-format standard</x:v>
      </x:c>
      <x:c r="P304" s="30" t="str">
        <x:v>Fundamental textbooks only — assign before drafting</x:v>
      </x:c>
      <x:c r="Q304" s="30" t="str">
        <x:v>Not started</x:v>
      </x:c>
      <x:c r="R304" s="30" t="str">
        <x:v>Not published</x:v>
      </x:c>
      <x:c r="S304" s="31" t="str">
        <x:v>New knowledge/data page; prepare only after editorial workflow is approved.</x:v>
      </x:c>
    </x:row>
    <x:row r="305" ht="42" customHeight="1">
      <x:c r="A305" s="50" t="str">
        <x:v>ICH-REF-047</x:v>
      </x:c>
      <x:c r="B305" s="30" t="str">
        <x:v>Knowledge/data page</x:v>
      </x:c>
      <x:c r="C305" s="53" t="str">
        <x:v>Engineering Reference Data</x:v>
      </x:c>
      <x:c r="D305" s="30" t="str">
        <x:v>Gaskets, Fasteners, Hardware and Welding Consumables</x:v>
      </x:c>
      <x:c r="E305" s="30" t="str">
        <x:v>Welding Consumables</x:v>
      </x:c>
      <x:c r="F305" s="30" t="str">
        <x:v>Electrodes and Filler Metals</x:v>
      </x:c>
      <x:c r="G305" s="30" t="str">
        <x:v>Welding Electrodes, Wire and Filler Metal Reference Guide</x:v>
      </x:c>
      <x:c r="H305" s="30" t="str">
        <x:v>Engineering Reference Data &gt; Gaskets, Fasteners, Hardware and Welding Consumables &gt; Welding Consumables &gt; Electrodes and Filler Metals &gt; Welding Electrodes, Wire and Filler Metal Reference Guide</x:v>
      </x:c>
      <x:c r="I305" s="30" t="str">
        <x:v>—</x:v>
      </x:c>
      <x:c r="J305" s="30" t="str">
        <x:v>Planned — not started</x:v>
      </x:c>
      <x:c r="K305" s="30" t="str">
        <x:v>Reference data page</x:v>
      </x:c>
      <x:c r="L305" s="30" t="str">
        <x:v>Pending URL standard</x:v>
      </x:c>
      <x:c r="M305" s="30" t="str">
        <x:v>REF.welding_electrodes_wire_and_filler_metal_reference_guide</x:v>
      </x:c>
      <x:c r="N305" s="30" t="str">
        <x:v>Required: dimension sketch or property-table visual</x:v>
      </x:c>
      <x:c r="O305" s="30" t="str">
        <x:v>Per frozen page-format standard</x:v>
      </x:c>
      <x:c r="P305" s="30" t="str">
        <x:v>Fundamental textbooks only — assign before drafting</x:v>
      </x:c>
      <x:c r="Q305" s="30" t="str">
        <x:v>Not started</x:v>
      </x:c>
      <x:c r="R305" s="30" t="str">
        <x:v>Not published</x:v>
      </x:c>
      <x:c r="S305" s="31" t="str">
        <x:v>New knowledge/data page; prepare only after editorial workflow is approved.</x:v>
      </x:c>
    </x:row>
    <x:row r="306" ht="42" customHeight="1">
      <x:c r="A306" s="50" t="str">
        <x:v>ICH-ENG-102</x:v>
      </x:c>
      <x:c r="B306" s="30" t="str">
        <x:v>Existing knowledge asset — unmapped</x:v>
      </x:c>
      <x:c r="C306" s="53" t="str">
        <x:v>Engineering</x:v>
      </x:c>
      <x:c r="D306" s="30" t="str">
        <x:v>Unmapped legacy asset</x:v>
      </x:c>
      <x:c r="E306" s="30" t="str">
        <x:v>Pending owner classification</x:v>
      </x:c>
      <x:c r="F306" s="30" t="str">
        <x:v>—</x:v>
      </x:c>
      <x:c r="G306" s="30" t="str">
        <x:v>Air Pollution Control Systems</x:v>
      </x:c>
      <x:c r="H306" s="30" t="str">
        <x:v>Existing asset outside the frozen knowledge hierarchy — no public placement approved</x:v>
      </x:c>
      <x:c r="I306" s="30" t="str">
        <x:v>air-pollution-control-systems.html</x:v>
      </x:c>
      <x:c r="J306" s="30" t="str">
        <x:v>Existing — review/restructure</x:v>
      </x:c>
      <x:c r="K306" s="30" t="str">
        <x:v>Engineering knowledge page</x:v>
      </x:c>
      <x:c r="L306" s="30" t="str">
        <x:v>/air-pollution-control-systems.html (existing)</x:v>
      </x:c>
      <x:c r="M306" s="30" t="str">
        <x:v>ENG.air_pollution_control_systems</x:v>
      </x:c>
      <x:c r="N306" s="30" t="str">
        <x:v>Required: principle schematic or formula diagram</x:v>
      </x:c>
      <x:c r="O306" s="30" t="str">
        <x:v>Per frozen page-format standard</x:v>
      </x:c>
      <x:c r="P306" s="30" t="str">
        <x:v>Fundamental textbooks only — assign before drafting</x:v>
      </x:c>
      <x:c r="Q306" s="30" t="str">
        <x:v>Audit existing page</x:v>
      </x:c>
      <x:c r="R306" s="30" t="str">
        <x:v>Existing — review/restructure</x:v>
      </x:c>
      <x:c r="S306" s="31" t="str">
        <x:v>Registered for audit only. This record does not add the asset to the sitemap; retain, relocate or retire only with owner approval.</x:v>
      </x:c>
    </x:row>
    <x:row r="307" ht="42" customHeight="1">
      <x:c r="A307" s="50" t="str">
        <x:v>ICH-EQP-096</x:v>
      </x:c>
      <x:c r="B307" s="30" t="str">
        <x:v>Existing knowledge asset — unmapped</x:v>
      </x:c>
      <x:c r="C307" s="53" t="str">
        <x:v>Industrial Equipment</x:v>
      </x:c>
      <x:c r="D307" s="30" t="str">
        <x:v>Unmapped legacy asset</x:v>
      </x:c>
      <x:c r="E307" s="30" t="str">
        <x:v>Pending owner classification</x:v>
      </x:c>
      <x:c r="F307" s="30" t="str">
        <x:v>—</x:v>
      </x:c>
      <x:c r="G307" s="30" t="str">
        <x:v>Bag Filter</x:v>
      </x:c>
      <x:c r="H307" s="30" t="str">
        <x:v>Existing asset outside the frozen knowledge hierarchy — no public placement approved</x:v>
      </x:c>
      <x:c r="I307" s="30" t="str">
        <x:v>bag-filter.html</x:v>
      </x:c>
      <x:c r="J307" s="30" t="str">
        <x:v>Existing — review/restructure</x:v>
      </x:c>
      <x:c r="K307" s="30" t="str">
        <x:v>Industrial equipment page</x:v>
      </x:c>
      <x:c r="L307" s="30" t="str">
        <x:v>/bag-filter.html (existing)</x:v>
      </x:c>
      <x:c r="M307" s="30" t="str">
        <x:v>EQP.bag_filter</x:v>
      </x:c>
      <x:c r="N307" s="30" t="str">
        <x:v>Required: labelled equipment diagram</x:v>
      </x:c>
      <x:c r="O307" s="30" t="str">
        <x:v>Per frozen page-format standard</x:v>
      </x:c>
      <x:c r="P307" s="30" t="str">
        <x:v>Fundamental textbooks only — assign before drafting</x:v>
      </x:c>
      <x:c r="Q307" s="30" t="str">
        <x:v>Audit existing page</x:v>
      </x:c>
      <x:c r="R307" s="30" t="str">
        <x:v>Existing — review/restructure</x:v>
      </x:c>
      <x:c r="S307" s="31" t="str">
        <x:v>Registered for audit only. This record does not add the asset to the sitemap; retain, relocate or retire only with owner approval.</x:v>
      </x:c>
    </x:row>
    <x:row r="308" ht="42" customHeight="1">
      <x:c r="A308" s="50" t="str">
        <x:v>ICH-EQP-097</x:v>
      </x:c>
      <x:c r="B308" s="30" t="str">
        <x:v>Existing knowledge asset — unmapped</x:v>
      </x:c>
      <x:c r="C308" s="53" t="str">
        <x:v>Industrial Equipment</x:v>
      </x:c>
      <x:c r="D308" s="30" t="str">
        <x:v>Unmapped legacy asset</x:v>
      </x:c>
      <x:c r="E308" s="30" t="str">
        <x:v>Pending owner classification</x:v>
      </x:c>
      <x:c r="F308" s="30" t="str">
        <x:v>—</x:v>
      </x:c>
      <x:c r="G308" s="30" t="str">
        <x:v>Electrostatic Precipitator</x:v>
      </x:c>
      <x:c r="H308" s="30" t="str">
        <x:v>Existing asset outside the frozen knowledge hierarchy — no public placement approved</x:v>
      </x:c>
      <x:c r="I308" s="30" t="str">
        <x:v>electrostatic-precipitator.html</x:v>
      </x:c>
      <x:c r="J308" s="30" t="str">
        <x:v>Existing — review/restructure</x:v>
      </x:c>
      <x:c r="K308" s="30" t="str">
        <x:v>Industrial equipment page</x:v>
      </x:c>
      <x:c r="L308" s="30" t="str">
        <x:v>/electrostatic-precipitator.html (existing)</x:v>
      </x:c>
      <x:c r="M308" s="30" t="str">
        <x:v>EQP.electrostatic_precipitator</x:v>
      </x:c>
      <x:c r="N308" s="30" t="str">
        <x:v>Required: labelled equipment diagram</x:v>
      </x:c>
      <x:c r="O308" s="30" t="str">
        <x:v>Per frozen page-format standard</x:v>
      </x:c>
      <x:c r="P308" s="30" t="str">
        <x:v>Fundamental textbooks only — assign before drafting</x:v>
      </x:c>
      <x:c r="Q308" s="30" t="str">
        <x:v>Audit existing page</x:v>
      </x:c>
      <x:c r="R308" s="30" t="str">
        <x:v>Existing — review/restructure</x:v>
      </x:c>
      <x:c r="S308" s="31" t="str">
        <x:v>Registered for audit only. This record does not add the asset to the sitemap; retain, relocate or retire only with owner approval.</x:v>
      </x:c>
    </x:row>
    <x:row r="309" ht="42" customHeight="1">
      <x:c r="A309" s="50" t="str">
        <x:v>ICH-EQP-098</x:v>
      </x:c>
      <x:c r="B309" s="30" t="str">
        <x:v>Existing knowledge asset — unmapped</x:v>
      </x:c>
      <x:c r="C309" s="53" t="str">
        <x:v>Industrial Equipment</x:v>
      </x:c>
      <x:c r="D309" s="30" t="str">
        <x:v>Unmapped legacy asset</x:v>
      </x:c>
      <x:c r="E309" s="30" t="str">
        <x:v>Pending owner classification</x:v>
      </x:c>
      <x:c r="F309" s="30" t="str">
        <x:v>—</x:v>
      </x:c>
      <x:c r="G309" s="30" t="str">
        <x:v>ESP vs Bag Filter</x:v>
      </x:c>
      <x:c r="H309" s="30" t="str">
        <x:v>Existing asset outside the frozen knowledge hierarchy — no public placement approved</x:v>
      </x:c>
      <x:c r="I309" s="30" t="str">
        <x:v>esp-vs-bag-filter.html</x:v>
      </x:c>
      <x:c r="J309" s="30" t="str">
        <x:v>Existing — review/restructure</x:v>
      </x:c>
      <x:c r="K309" s="30" t="str">
        <x:v>Industrial equipment page</x:v>
      </x:c>
      <x:c r="L309" s="30" t="str">
        <x:v>/esp-vs-bag-filter.html (existing)</x:v>
      </x:c>
      <x:c r="M309" s="30" t="str">
        <x:v>EQP.esp_vs_bag_filter</x:v>
      </x:c>
      <x:c r="N309" s="30" t="str">
        <x:v>Required: labelled equipment diagram</x:v>
      </x:c>
      <x:c r="O309" s="30" t="str">
        <x:v>Per frozen page-format standard</x:v>
      </x:c>
      <x:c r="P309" s="30" t="str">
        <x:v>Fundamental textbooks only — assign before drafting</x:v>
      </x:c>
      <x:c r="Q309" s="30" t="str">
        <x:v>Audit existing page</x:v>
      </x:c>
      <x:c r="R309" s="30" t="str">
        <x:v>Existing — review/restructure</x:v>
      </x:c>
      <x:c r="S309" s="31" t="str">
        <x:v>Registered for audit only. This record does not add the asset to the sitemap; retain, relocate or retire only with owner approval.</x:v>
      </x:c>
    </x:row>
    <x:row r="310" ht="42" customHeight="1">
      <x:c r="A310" s="50" t="str">
        <x:v>ICH-ENG-103</x:v>
      </x:c>
      <x:c r="B310" s="30" t="str">
        <x:v>Existing knowledge asset — unmapped</x:v>
      </x:c>
      <x:c r="C310" s="53" t="str">
        <x:v>Engineering</x:v>
      </x:c>
      <x:c r="D310" s="30" t="str">
        <x:v>Unmapped legacy asset</x:v>
      </x:c>
      <x:c r="E310" s="30" t="str">
        <x:v>Pending owner classification</x:v>
      </x:c>
      <x:c r="F310" s="30" t="str">
        <x:v>—</x:v>
      </x:c>
      <x:c r="G310" s="30" t="str">
        <x:v>Heat Transfer</x:v>
      </x:c>
      <x:c r="H310" s="30" t="str">
        <x:v>Existing asset outside the frozen knowledge hierarchy — no public placement approved</x:v>
      </x:c>
      <x:c r="I310" s="30" t="str">
        <x:v>heat-transfer-explained.html</x:v>
      </x:c>
      <x:c r="J310" s="30" t="str">
        <x:v>Existing — review/restructure</x:v>
      </x:c>
      <x:c r="K310" s="30" t="str">
        <x:v>Engineering knowledge page</x:v>
      </x:c>
      <x:c r="L310" s="30" t="str">
        <x:v>/heat-transfer-explained.html (existing)</x:v>
      </x:c>
      <x:c r="M310" s="30" t="str">
        <x:v>ENG.heat_transfer</x:v>
      </x:c>
      <x:c r="N310" s="30" t="str">
        <x:v>Required: principle schematic or formula diagram</x:v>
      </x:c>
      <x:c r="O310" s="30" t="str">
        <x:v>Per frozen page-format standard</x:v>
      </x:c>
      <x:c r="P310" s="30" t="str">
        <x:v>Fundamental textbooks only — assign before drafting</x:v>
      </x:c>
      <x:c r="Q310" s="30" t="str">
        <x:v>Audit existing page</x:v>
      </x:c>
      <x:c r="R310" s="30" t="str">
        <x:v>Existing — review/restructure</x:v>
      </x:c>
      <x:c r="S310" s="31" t="str">
        <x:v>Registered for audit only. This record does not add the asset to the sitemap; retain, relocate or retire only with owner approval.</x:v>
      </x:c>
    </x:row>
    <x:row r="311" ht="42" customHeight="1">
      <x:c r="A311" s="50" t="str">
        <x:v>ICH-UTL-001</x:v>
      </x:c>
      <x:c r="B311" s="30" t="str">
        <x:v>Existing knowledge asset — unmapped</x:v>
      </x:c>
      <x:c r="C311" s="53" t="str">
        <x:v>Existing Utilities</x:v>
      </x:c>
      <x:c r="D311" s="30" t="str">
        <x:v>Unmapped legacy asset</x:v>
      </x:c>
      <x:c r="E311" s="30" t="str">
        <x:v>Pending owner classification</x:v>
      </x:c>
      <x:c r="F311" s="30" t="str">
        <x:v>—</x:v>
      </x:c>
      <x:c r="G311" s="30" t="str">
        <x:v>Unit Conversion Explained</x:v>
      </x:c>
      <x:c r="H311" s="30" t="str">
        <x:v>Existing asset outside the frozen knowledge hierarchy — no public placement approved</x:v>
      </x:c>
      <x:c r="I311" s="30" t="str">
        <x:v>unit-conversion-explained.html</x:v>
      </x:c>
      <x:c r="J311" s="30" t="str">
        <x:v>Existing — review/restructure</x:v>
      </x:c>
      <x:c r="K311" s="30" t="str">
        <x:v>Utility or support page</x:v>
      </x:c>
      <x:c r="L311" s="30" t="str">
        <x:v>/unit-conversion-explained.html (existing)</x:v>
      </x:c>
      <x:c r="M311" s="30" t="str">
        <x:v>UTL.unit_conversion_explained</x:v>
      </x:c>
      <x:c r="N311" s="30" t="str">
        <x:v>Review required</x:v>
      </x:c>
      <x:c r="O311" s="30" t="str">
        <x:v>Not applicable</x:v>
      </x:c>
      <x:c r="P311" s="30" t="str">
        <x:v>Not applicable</x:v>
      </x:c>
      <x:c r="Q311" s="30" t="str">
        <x:v>Audit existing page</x:v>
      </x:c>
      <x:c r="R311" s="30" t="str">
        <x:v>Existing — review/restructure</x:v>
      </x:c>
      <x:c r="S311" s="31" t="str">
        <x:v>Registered for audit only. This record does not add the asset to the sitemap; retain, relocate or retire only with owner approval.</x:v>
      </x:c>
    </x:row>
    <x:row r="312" ht="42" customHeight="1">
      <x:c r="A312" s="50" t="str">
        <x:v>ICH-UTL-002</x:v>
      </x:c>
      <x:c r="B312" s="30" t="str">
        <x:v>Existing utility</x:v>
      </x:c>
      <x:c r="C312" s="53" t="str">
        <x:v>Existing Utilities</x:v>
      </x:c>
      <x:c r="D312" s="30" t="str">
        <x:v>Engineering Calculators</x:v>
      </x:c>
      <x:c r="E312" s="30" t="str">
        <x:v>Existing utility</x:v>
      </x:c>
      <x:c r="F312" s="30" t="str">
        <x:v>—</x:v>
      </x:c>
      <x:c r="G312" s="30" t="str">
        <x:v>Air Density Calculator</x:v>
      </x:c>
      <x:c r="H312" s="30" t="str">
        <x:v>Existing Utility Pages &gt; Engineering Calculators &gt; Air Density Calculator</x:v>
      </x:c>
      <x:c r="I312" s="30" t="str">
        <x:v>air-density.html</x:v>
      </x:c>
      <x:c r="J312" s="30" t="str">
        <x:v>Existing — review/restructure</x:v>
      </x:c>
      <x:c r="K312" s="30" t="str">
        <x:v>Engineering calculator</x:v>
      </x:c>
      <x:c r="L312" s="30" t="str">
        <x:v>/air-density.html (existing)</x:v>
      </x:c>
      <x:c r="M312" s="30" t="str">
        <x:v>UTL.air_density_calculator</x:v>
      </x:c>
      <x:c r="N312" s="30" t="str">
        <x:v>Required: input/output and formula schematic</x:v>
      </x:c>
      <x:c r="O312" s="30" t="str">
        <x:v>Per frozen page-format standard</x:v>
      </x:c>
      <x:c r="P312" s="30" t="str">
        <x:v>Fundamental textbooks only — assign before drafting</x:v>
      </x:c>
      <x:c r="Q312" s="30" t="str">
        <x:v>Audit existing page</x:v>
      </x:c>
      <x:c r="R312" s="30" t="str">
        <x:v>Existing — review/restructure</x:v>
      </x:c>
      <x:c r="S312" s="31" t="str">
        <x:v>Frozen sitemap: existing only — no new calculator or converter scope.</x:v>
      </x:c>
    </x:row>
    <x:row r="313" ht="42" customHeight="1">
      <x:c r="A313" s="50" t="str">
        <x:v>ICH-UTL-003</x:v>
      </x:c>
      <x:c r="B313" s="30" t="str">
        <x:v>Existing utility</x:v>
      </x:c>
      <x:c r="C313" s="53" t="str">
        <x:v>Existing Utilities</x:v>
      </x:c>
      <x:c r="D313" s="30" t="str">
        <x:v>Engineering Calculators</x:v>
      </x:c>
      <x:c r="E313" s="30" t="str">
        <x:v>Existing utility</x:v>
      </x:c>
      <x:c r="F313" s="30" t="str">
        <x:v>—</x:v>
      </x:c>
      <x:c r="G313" s="30" t="str">
        <x:v>Duct Flow Rate Calculator</x:v>
      </x:c>
      <x:c r="H313" s="30" t="str">
        <x:v>Existing Utility Pages &gt; Engineering Calculators &gt; Duct Flow Rate Calculator</x:v>
      </x:c>
      <x:c r="I313" s="30" t="str">
        <x:v>duct-flow-calculator.html</x:v>
      </x:c>
      <x:c r="J313" s="30" t="str">
        <x:v>Existing — review/restructure</x:v>
      </x:c>
      <x:c r="K313" s="30" t="str">
        <x:v>Engineering calculator</x:v>
      </x:c>
      <x:c r="L313" s="30" t="str">
        <x:v>/duct-flow-calculator.html (existing)</x:v>
      </x:c>
      <x:c r="M313" s="30" t="str">
        <x:v>UTL.duct_flow_rate_calculator</x:v>
      </x:c>
      <x:c r="N313" s="30" t="str">
        <x:v>Required: input/output and formula schematic</x:v>
      </x:c>
      <x:c r="O313" s="30" t="str">
        <x:v>Per frozen page-format standard</x:v>
      </x:c>
      <x:c r="P313" s="30" t="str">
        <x:v>Fundamental textbooks only — assign before drafting</x:v>
      </x:c>
      <x:c r="Q313" s="30" t="str">
        <x:v>Audit existing page</x:v>
      </x:c>
      <x:c r="R313" s="30" t="str">
        <x:v>Existing — review/restructure</x:v>
      </x:c>
      <x:c r="S313" s="31" t="str">
        <x:v>Frozen sitemap: existing only — no new calculator or converter scope.</x:v>
      </x:c>
    </x:row>
    <x:row r="314" ht="42" customHeight="1">
      <x:c r="A314" s="50" t="str">
        <x:v>ICH-UTL-004</x:v>
      </x:c>
      <x:c r="B314" s="30" t="str">
        <x:v>Existing utility</x:v>
      </x:c>
      <x:c r="C314" s="53" t="str">
        <x:v>Existing Utilities</x:v>
      </x:c>
      <x:c r="D314" s="30" t="str">
        <x:v>Engineering Calculators</x:v>
      </x:c>
      <x:c r="E314" s="30" t="str">
        <x:v>Existing utility</x:v>
      </x:c>
      <x:c r="F314" s="30" t="str">
        <x:v>—</x:v>
      </x:c>
      <x:c r="G314" s="30" t="str">
        <x:v>Duct Weight Calculator</x:v>
      </x:c>
      <x:c r="H314" s="30" t="str">
        <x:v>Existing Utility Pages &gt; Engineering Calculators &gt; Duct Weight Calculator</x:v>
      </x:c>
      <x:c r="I314" s="30" t="str">
        <x:v>duct-weight.html</x:v>
      </x:c>
      <x:c r="J314" s="30" t="str">
        <x:v>Existing — review/restructure</x:v>
      </x:c>
      <x:c r="K314" s="30" t="str">
        <x:v>Engineering calculator</x:v>
      </x:c>
      <x:c r="L314" s="30" t="str">
        <x:v>/duct-weight.html (existing)</x:v>
      </x:c>
      <x:c r="M314" s="30" t="str">
        <x:v>UTL.duct_weight_calculator</x:v>
      </x:c>
      <x:c r="N314" s="30" t="str">
        <x:v>Required: input/output and formula schematic</x:v>
      </x:c>
      <x:c r="O314" s="30" t="str">
        <x:v>Per frozen page-format standard</x:v>
      </x:c>
      <x:c r="P314" s="30" t="str">
        <x:v>Fundamental textbooks only — assign before drafting</x:v>
      </x:c>
      <x:c r="Q314" s="30" t="str">
        <x:v>Audit existing page</x:v>
      </x:c>
      <x:c r="R314" s="30" t="str">
        <x:v>Existing — review/restructure</x:v>
      </x:c>
      <x:c r="S314" s="31" t="str">
        <x:v>Frozen sitemap: existing only — no new calculator or converter scope.</x:v>
      </x:c>
    </x:row>
    <x:row r="315" ht="42" customHeight="1">
      <x:c r="A315" s="50" t="str">
        <x:v>ICH-UTL-005</x:v>
      </x:c>
      <x:c r="B315" s="30" t="str">
        <x:v>Existing utility</x:v>
      </x:c>
      <x:c r="C315" s="53" t="str">
        <x:v>Existing Utilities</x:v>
      </x:c>
      <x:c r="D315" s="30" t="str">
        <x:v>Engineering Calculators</x:v>
      </x:c>
      <x:c r="E315" s="30" t="str">
        <x:v>Existing utility</x:v>
      </x:c>
      <x:c r="F315" s="30" t="str">
        <x:v>—</x:v>
      </x:c>
      <x:c r="G315" s="30" t="str">
        <x:v>Flange Weight Calculator</x:v>
      </x:c>
      <x:c r="H315" s="30" t="str">
        <x:v>Existing Utility Pages &gt; Engineering Calculators &gt; Flange Weight Calculator</x:v>
      </x:c>
      <x:c r="I315" s="30" t="str">
        <x:v>flange-weight.html</x:v>
      </x:c>
      <x:c r="J315" s="30" t="str">
        <x:v>Existing — review/restructure</x:v>
      </x:c>
      <x:c r="K315" s="30" t="str">
        <x:v>Engineering calculator</x:v>
      </x:c>
      <x:c r="L315" s="30" t="str">
        <x:v>/flange-weight.html (existing)</x:v>
      </x:c>
      <x:c r="M315" s="30" t="str">
        <x:v>UTL.flange_weight_calculator</x:v>
      </x:c>
      <x:c r="N315" s="30" t="str">
        <x:v>Required: input/output and formula schematic</x:v>
      </x:c>
      <x:c r="O315" s="30" t="str">
        <x:v>Per frozen page-format standard</x:v>
      </x:c>
      <x:c r="P315" s="30" t="str">
        <x:v>Fundamental textbooks only — assign before drafting</x:v>
      </x:c>
      <x:c r="Q315" s="30" t="str">
        <x:v>Audit existing page</x:v>
      </x:c>
      <x:c r="R315" s="30" t="str">
        <x:v>Existing — review/restructure</x:v>
      </x:c>
      <x:c r="S315" s="31" t="str">
        <x:v>Frozen sitemap: existing only — no new calculator or converter scope.</x:v>
      </x:c>
    </x:row>
    <x:row r="316" ht="42" customHeight="1">
      <x:c r="A316" s="50" t="str">
        <x:v>ICH-UTL-006</x:v>
      </x:c>
      <x:c r="B316" s="30" t="str">
        <x:v>Existing utility</x:v>
      </x:c>
      <x:c r="C316" s="53" t="str">
        <x:v>Existing Utilities</x:v>
      </x:c>
      <x:c r="D316" s="30" t="str">
        <x:v>Engineering Calculators</x:v>
      </x:c>
      <x:c r="E316" s="30" t="str">
        <x:v>Existing utility</x:v>
      </x:c>
      <x:c r="F316" s="30" t="str">
        <x:v>—</x:v>
      </x:c>
      <x:c r="G316" s="30" t="str">
        <x:v>Heat Transfer Calculator</x:v>
      </x:c>
      <x:c r="H316" s="30" t="str">
        <x:v>Existing Utility Pages &gt; Engineering Calculators &gt; Heat Transfer Calculator</x:v>
      </x:c>
      <x:c r="I316" s="30" t="str">
        <x:v>heat-transfer.html</x:v>
      </x:c>
      <x:c r="J316" s="30" t="str">
        <x:v>Existing — review/restructure</x:v>
      </x:c>
      <x:c r="K316" s="30" t="str">
        <x:v>Engineering calculator</x:v>
      </x:c>
      <x:c r="L316" s="30" t="str">
        <x:v>/heat-transfer.html (existing)</x:v>
      </x:c>
      <x:c r="M316" s="30" t="str">
        <x:v>UTL.heat_transfer_calculator</x:v>
      </x:c>
      <x:c r="N316" s="30" t="str">
        <x:v>Required: input/output and formula schematic</x:v>
      </x:c>
      <x:c r="O316" s="30" t="str">
        <x:v>Per frozen page-format standard</x:v>
      </x:c>
      <x:c r="P316" s="30" t="str">
        <x:v>Fundamental textbooks only — assign before drafting</x:v>
      </x:c>
      <x:c r="Q316" s="30" t="str">
        <x:v>Audit existing page</x:v>
      </x:c>
      <x:c r="R316" s="30" t="str">
        <x:v>Existing — review/restructure</x:v>
      </x:c>
      <x:c r="S316" s="31" t="str">
        <x:v>Frozen sitemap: existing only — no new calculator or converter scope.</x:v>
      </x:c>
    </x:row>
    <x:row r="317" ht="42" customHeight="1">
      <x:c r="A317" s="50" t="str">
        <x:v>ICH-UTL-007</x:v>
      </x:c>
      <x:c r="B317" s="30" t="str">
        <x:v>Existing utility</x:v>
      </x:c>
      <x:c r="C317" s="53" t="str">
        <x:v>Existing Utilities</x:v>
      </x:c>
      <x:c r="D317" s="30" t="str">
        <x:v>Engineering Calculators</x:v>
      </x:c>
      <x:c r="E317" s="30" t="str">
        <x:v>Existing utility</x:v>
      </x:c>
      <x:c r="F317" s="30" t="str">
        <x:v>—</x:v>
      </x:c>
      <x:c r="G317" s="30" t="str">
        <x:v>Hopper Valley Angle Calculator</x:v>
      </x:c>
      <x:c r="H317" s="30" t="str">
        <x:v>Existing Utility Pages &gt; Engineering Calculators &gt; Hopper Valley Angle Calculator</x:v>
      </x:c>
      <x:c r="I317" s="30" t="str">
        <x:v>hopper-valley-angle-calculator.html</x:v>
      </x:c>
      <x:c r="J317" s="30" t="str">
        <x:v>Existing — review/restructure</x:v>
      </x:c>
      <x:c r="K317" s="30" t="str">
        <x:v>Engineering calculator</x:v>
      </x:c>
      <x:c r="L317" s="30" t="str">
        <x:v>/hopper-valley-angle-calculator.html (existing)</x:v>
      </x:c>
      <x:c r="M317" s="30" t="str">
        <x:v>UTL.hopper_valley_angle_calculator</x:v>
      </x:c>
      <x:c r="N317" s="30" t="str">
        <x:v>Required: input/output and formula schematic</x:v>
      </x:c>
      <x:c r="O317" s="30" t="str">
        <x:v>Per frozen page-format standard</x:v>
      </x:c>
      <x:c r="P317" s="30" t="str">
        <x:v>Fundamental textbooks only — assign before drafting</x:v>
      </x:c>
      <x:c r="Q317" s="30" t="str">
        <x:v>Audit existing page</x:v>
      </x:c>
      <x:c r="R317" s="30" t="str">
        <x:v>Existing — review/restructure</x:v>
      </x:c>
      <x:c r="S317" s="31" t="str">
        <x:v>Frozen sitemap: existing only — no new calculator or converter scope.</x:v>
      </x:c>
    </x:row>
    <x:row r="318" ht="42" customHeight="1">
      <x:c r="A318" s="50" t="str">
        <x:v>ICH-UTL-008</x:v>
      </x:c>
      <x:c r="B318" s="30" t="str">
        <x:v>Existing utility</x:v>
      </x:c>
      <x:c r="C318" s="53" t="str">
        <x:v>Existing Utilities</x:v>
      </x:c>
      <x:c r="D318" s="30" t="str">
        <x:v>Engineering Calculators</x:v>
      </x:c>
      <x:c r="E318" s="30" t="str">
        <x:v>Existing utility</x:v>
      </x:c>
      <x:c r="F318" s="30" t="str">
        <x:v>—</x:v>
      </x:c>
      <x:c r="G318" s="30" t="str">
        <x:v>Pipe Flow Rate Calculator</x:v>
      </x:c>
      <x:c r="H318" s="30" t="str">
        <x:v>Existing Utility Pages &gt; Engineering Calculators &gt; Pipe Flow Rate Calculator</x:v>
      </x:c>
      <x:c r="I318" s="30" t="str">
        <x:v>pipe-flow-calculator.html</x:v>
      </x:c>
      <x:c r="J318" s="30" t="str">
        <x:v>Existing — review/restructure</x:v>
      </x:c>
      <x:c r="K318" s="30" t="str">
        <x:v>Engineering calculator</x:v>
      </x:c>
      <x:c r="L318" s="30" t="str">
        <x:v>/pipe-flow-calculator.html (existing)</x:v>
      </x:c>
      <x:c r="M318" s="30" t="str">
        <x:v>UTL.pipe_flow_rate_calculator</x:v>
      </x:c>
      <x:c r="N318" s="30" t="str">
        <x:v>Required: input/output and formula schematic</x:v>
      </x:c>
      <x:c r="O318" s="30" t="str">
        <x:v>Per frozen page-format standard</x:v>
      </x:c>
      <x:c r="P318" s="30" t="str">
        <x:v>Fundamental textbooks only — assign before drafting</x:v>
      </x:c>
      <x:c r="Q318" s="30" t="str">
        <x:v>Audit existing page</x:v>
      </x:c>
      <x:c r="R318" s="30" t="str">
        <x:v>Existing — review/restructure</x:v>
      </x:c>
      <x:c r="S318" s="31" t="str">
        <x:v>Frozen sitemap: existing only — no new calculator or converter scope.</x:v>
      </x:c>
    </x:row>
    <x:row r="319" ht="42" customHeight="1">
      <x:c r="A319" s="50" t="str">
        <x:v>ICH-UTL-009</x:v>
      </x:c>
      <x:c r="B319" s="30" t="str">
        <x:v>Existing utility</x:v>
      </x:c>
      <x:c r="C319" s="53" t="str">
        <x:v>Existing Utilities</x:v>
      </x:c>
      <x:c r="D319" s="30" t="str">
        <x:v>Engineering Calculators</x:v>
      </x:c>
      <x:c r="E319" s="30" t="str">
        <x:v>Existing utility</x:v>
      </x:c>
      <x:c r="F319" s="30" t="str">
        <x:v>—</x:v>
      </x:c>
      <x:c r="G319" s="30" t="str">
        <x:v>Pump Motor Selection Calculator</x:v>
      </x:c>
      <x:c r="H319" s="30" t="str">
        <x:v>Existing Utility Pages &gt; Engineering Calculators &gt; Pump Motor Selection Calculator</x:v>
      </x:c>
      <x:c r="I319" s="30" t="str">
        <x:v>pump-power-calculator.html</x:v>
      </x:c>
      <x:c r="J319" s="30" t="str">
        <x:v>Existing — review/restructure</x:v>
      </x:c>
      <x:c r="K319" s="30" t="str">
        <x:v>Engineering calculator</x:v>
      </x:c>
      <x:c r="L319" s="30" t="str">
        <x:v>/pump-power-calculator.html (existing)</x:v>
      </x:c>
      <x:c r="M319" s="30" t="str">
        <x:v>UTL.pump_motor_selection_calculator</x:v>
      </x:c>
      <x:c r="N319" s="30" t="str">
        <x:v>Required: input/output and formula schematic</x:v>
      </x:c>
      <x:c r="O319" s="30" t="str">
        <x:v>Per frozen page-format standard</x:v>
      </x:c>
      <x:c r="P319" s="30" t="str">
        <x:v>Fundamental textbooks only — assign before drafting</x:v>
      </x:c>
      <x:c r="Q319" s="30" t="str">
        <x:v>Audit existing page</x:v>
      </x:c>
      <x:c r="R319" s="30" t="str">
        <x:v>Existing — review/restructure</x:v>
      </x:c>
      <x:c r="S319" s="31" t="str">
        <x:v>Frozen sitemap: existing only — no new calculator or converter scope.</x:v>
      </x:c>
    </x:row>
    <x:row r="320" ht="42" customHeight="1">
      <x:c r="A320" s="50" t="str">
        <x:v>ICH-UTL-010</x:v>
      </x:c>
      <x:c r="B320" s="30" t="str">
        <x:v>Existing utility</x:v>
      </x:c>
      <x:c r="C320" s="53" t="str">
        <x:v>Existing Utilities</x:v>
      </x:c>
      <x:c r="D320" s="30" t="str">
        <x:v>Engineering Calculators</x:v>
      </x:c>
      <x:c r="E320" s="30" t="str">
        <x:v>Existing utility</x:v>
      </x:c>
      <x:c r="F320" s="30" t="str">
        <x:v>—</x:v>
      </x:c>
      <x:c r="G320" s="30" t="str">
        <x:v>Silo and Bunker Sizing Calculator</x:v>
      </x:c>
      <x:c r="H320" s="30" t="str">
        <x:v>Existing Utility Pages &gt; Engineering Calculators &gt; Silo and Bunker Sizing Calculator</x:v>
      </x:c>
      <x:c r="I320" s="30" t="str">
        <x:v>silo-bunker-sizing.html</x:v>
      </x:c>
      <x:c r="J320" s="30" t="str">
        <x:v>Existing — review/restructure</x:v>
      </x:c>
      <x:c r="K320" s="30" t="str">
        <x:v>Engineering calculator</x:v>
      </x:c>
      <x:c r="L320" s="30" t="str">
        <x:v>/silo-bunker-sizing.html (existing)</x:v>
      </x:c>
      <x:c r="M320" s="30" t="str">
        <x:v>UTL.silo_and_bunker_sizing_calculator</x:v>
      </x:c>
      <x:c r="N320" s="30" t="str">
        <x:v>Required: input/output and formula schematic</x:v>
      </x:c>
      <x:c r="O320" s="30" t="str">
        <x:v>Per frozen page-format standard</x:v>
      </x:c>
      <x:c r="P320" s="30" t="str">
        <x:v>Fundamental textbooks only — assign before drafting</x:v>
      </x:c>
      <x:c r="Q320" s="30" t="str">
        <x:v>Audit existing page</x:v>
      </x:c>
      <x:c r="R320" s="30" t="str">
        <x:v>Existing — review/restructure</x:v>
      </x:c>
      <x:c r="S320" s="31" t="str">
        <x:v>Frozen sitemap: existing only — no new calculator or converter scope.</x:v>
      </x:c>
    </x:row>
    <x:row r="321" ht="42" customHeight="1">
      <x:c r="A321" s="50" t="str">
        <x:v>ICH-UTL-011</x:v>
      </x:c>
      <x:c r="B321" s="30" t="str">
        <x:v>Existing utility</x:v>
      </x:c>
      <x:c r="C321" s="53" t="str">
        <x:v>Existing Utilities</x:v>
      </x:c>
      <x:c r="D321" s="30" t="str">
        <x:v>Engineering Calculators</x:v>
      </x:c>
      <x:c r="E321" s="30" t="str">
        <x:v>Existing utility</x:v>
      </x:c>
      <x:c r="F321" s="30" t="str">
        <x:v>—</x:v>
      </x:c>
      <x:c r="G321" s="30" t="str">
        <x:v>Thermal Expansion Calculator</x:v>
      </x:c>
      <x:c r="H321" s="30" t="str">
        <x:v>Existing Utility Pages &gt; Engineering Calculators &gt; Thermal Expansion Calculator</x:v>
      </x:c>
      <x:c r="I321" s="30" t="str">
        <x:v>thermal-expansion.html</x:v>
      </x:c>
      <x:c r="J321" s="30" t="str">
        <x:v>Existing — review/restructure</x:v>
      </x:c>
      <x:c r="K321" s="30" t="str">
        <x:v>Engineering calculator</x:v>
      </x:c>
      <x:c r="L321" s="30" t="str">
        <x:v>/thermal-expansion.html (existing)</x:v>
      </x:c>
      <x:c r="M321" s="30" t="str">
        <x:v>UTL.thermal_expansion_calculator</x:v>
      </x:c>
      <x:c r="N321" s="30" t="str">
        <x:v>Required: input/output and formula schematic</x:v>
      </x:c>
      <x:c r="O321" s="30" t="str">
        <x:v>Per frozen page-format standard</x:v>
      </x:c>
      <x:c r="P321" s="30" t="str">
        <x:v>Fundamental textbooks only — assign before drafting</x:v>
      </x:c>
      <x:c r="Q321" s="30" t="str">
        <x:v>Audit existing page</x:v>
      </x:c>
      <x:c r="R321" s="30" t="str">
        <x:v>Existing — review/restructure</x:v>
      </x:c>
      <x:c r="S321" s="31" t="str">
        <x:v>Frozen sitemap: existing only — no new calculator or converter scope.</x:v>
      </x:c>
    </x:row>
    <x:row r="322" ht="42" customHeight="1">
      <x:c r="A322" s="50" t="str">
        <x:v>ICH-UTL-012</x:v>
      </x:c>
      <x:c r="B322" s="30" t="str">
        <x:v>Existing utility</x:v>
      </x:c>
      <x:c r="C322" s="53" t="str">
        <x:v>Existing Utilities</x:v>
      </x:c>
      <x:c r="D322" s="30" t="str">
        <x:v>Engineering Calculators</x:v>
      </x:c>
      <x:c r="E322" s="30" t="str">
        <x:v>Existing utility</x:v>
      </x:c>
      <x:c r="F322" s="30" t="str">
        <x:v>—</x:v>
      </x:c>
      <x:c r="G322" s="30" t="str">
        <x:v>Plate Weight Calculator</x:v>
      </x:c>
      <x:c r="H322" s="30" t="str">
        <x:v>Existing Utility Pages &gt; Engineering Calculators &gt; Plate Weight Calculator</x:v>
      </x:c>
      <x:c r="I322" s="30" t="str">
        <x:v>plate-weight.html</x:v>
      </x:c>
      <x:c r="J322" s="30" t="str">
        <x:v>Existing — review/restructure</x:v>
      </x:c>
      <x:c r="K322" s="30" t="str">
        <x:v>Engineering calculator</x:v>
      </x:c>
      <x:c r="L322" s="30" t="str">
        <x:v>/plate-weight.html (existing)</x:v>
      </x:c>
      <x:c r="M322" s="30" t="str">
        <x:v>UTL.plate_weight_calculator</x:v>
      </x:c>
      <x:c r="N322" s="30" t="str">
        <x:v>Required: input/output and formula schematic</x:v>
      </x:c>
      <x:c r="O322" s="30" t="str">
        <x:v>Per frozen page-format standard</x:v>
      </x:c>
      <x:c r="P322" s="30" t="str">
        <x:v>Fundamental textbooks only — assign before drafting</x:v>
      </x:c>
      <x:c r="Q322" s="30" t="str">
        <x:v>Audit existing page</x:v>
      </x:c>
      <x:c r="R322" s="30" t="str">
        <x:v>Existing — review/restructure</x:v>
      </x:c>
      <x:c r="S322" s="31" t="str">
        <x:v>Existing asset not named in the frozen utility list; retain as legacy utility pending owner placement decision.</x:v>
      </x:c>
    </x:row>
    <x:row r="323" ht="42" customHeight="1">
      <x:c r="A323" s="50" t="str">
        <x:v>ICH-UTL-013</x:v>
      </x:c>
      <x:c r="B323" s="30" t="str">
        <x:v>Existing utility</x:v>
      </x:c>
      <x:c r="C323" s="53" t="str">
        <x:v>Existing Utilities</x:v>
      </x:c>
      <x:c r="D323" s="30" t="str">
        <x:v>Engineering Calculators</x:v>
      </x:c>
      <x:c r="E323" s="30" t="str">
        <x:v>Existing utility</x:v>
      </x:c>
      <x:c r="F323" s="30" t="str">
        <x:v>—</x:v>
      </x:c>
      <x:c r="G323" s="30" t="str">
        <x:v>Fabrication BOM Creator</x:v>
      </x:c>
      <x:c r="H323" s="30" t="str">
        <x:v>Existing Utility Pages &gt; Engineering Calculators &gt; Fabrication BOM Creator</x:v>
      </x:c>
      <x:c r="I323" s="30" t="str">
        <x:v>fabrication-bom-creator.html</x:v>
      </x:c>
      <x:c r="J323" s="30" t="str">
        <x:v>Existing — review/restructure</x:v>
      </x:c>
      <x:c r="K323" s="30" t="str">
        <x:v>Engineering calculator</x:v>
      </x:c>
      <x:c r="L323" s="30" t="str">
        <x:v>/fabrication-bom-creator.html (existing)</x:v>
      </x:c>
      <x:c r="M323" s="30" t="str">
        <x:v>UTL.fabrication_bom_creator</x:v>
      </x:c>
      <x:c r="N323" s="30" t="str">
        <x:v>Required: input/output and formula schematic</x:v>
      </x:c>
      <x:c r="O323" s="30" t="str">
        <x:v>Per frozen page-format standard</x:v>
      </x:c>
      <x:c r="P323" s="30" t="str">
        <x:v>Fundamental textbooks only — assign before drafting</x:v>
      </x:c>
      <x:c r="Q323" s="30" t="str">
        <x:v>Audit existing page</x:v>
      </x:c>
      <x:c r="R323" s="30" t="str">
        <x:v>Existing — review/restructure</x:v>
      </x:c>
      <x:c r="S323" s="31" t="str">
        <x:v>Existing asset not named in the frozen utility list; retain as legacy utility pending owner placement decision.</x:v>
      </x:c>
    </x:row>
    <x:row r="324" ht="42" customHeight="1">
      <x:c r="A324" s="50" t="str">
        <x:v>ICH-UTL-014</x:v>
      </x:c>
      <x:c r="B324" s="30" t="str">
        <x:v>Existing utility</x:v>
      </x:c>
      <x:c r="C324" s="53" t="str">
        <x:v>Existing Utilities</x:v>
      </x:c>
      <x:c r="D324" s="30" t="str">
        <x:v>Unit Converters</x:v>
      </x:c>
      <x:c r="E324" s="30" t="str">
        <x:v>Existing utility</x:v>
      </x:c>
      <x:c r="F324" s="30" t="str">
        <x:v>—</x:v>
      </x:c>
      <x:c r="G324" s="30" t="str">
        <x:v>Area Conversion Calculator</x:v>
      </x:c>
      <x:c r="H324" s="30" t="str">
        <x:v>Existing Utility Pages &gt; Unit Converters &gt; Area Conversion Calculator</x:v>
      </x:c>
      <x:c r="I324" s="30" t="str">
        <x:v>area-conversion.html</x:v>
      </x:c>
      <x:c r="J324" s="30" t="str">
        <x:v>Existing — review/restructure</x:v>
      </x:c>
      <x:c r="K324" s="30" t="str">
        <x:v>Unit converter</x:v>
      </x:c>
      <x:c r="L324" s="30" t="str">
        <x:v>/area-conversion.html (existing)</x:v>
      </x:c>
      <x:c r="M324" s="30" t="str">
        <x:v>UTL.area_conversion_calculator</x:v>
      </x:c>
      <x:c r="N324" s="30" t="str">
        <x:v>Required: unit relationship graphic</x:v>
      </x:c>
      <x:c r="O324" s="30" t="str">
        <x:v>Per frozen page-format standard</x:v>
      </x:c>
      <x:c r="P324" s="30" t="str">
        <x:v>Fundamental textbooks only — assign before drafting</x:v>
      </x:c>
      <x:c r="Q324" s="30" t="str">
        <x:v>Audit existing page</x:v>
      </x:c>
      <x:c r="R324" s="30" t="str">
        <x:v>Existing — review/restructure</x:v>
      </x:c>
      <x:c r="S324" s="31" t="str">
        <x:v>Frozen sitemap: existing only — no new calculator or converter scope.</x:v>
      </x:c>
    </x:row>
    <x:row r="325" ht="42" customHeight="1">
      <x:c r="A325" s="50" t="str">
        <x:v>ICH-UTL-015</x:v>
      </x:c>
      <x:c r="B325" s="30" t="str">
        <x:v>Existing utility</x:v>
      </x:c>
      <x:c r="C325" s="53" t="str">
        <x:v>Existing Utilities</x:v>
      </x:c>
      <x:c r="D325" s="30" t="str">
        <x:v>Unit Converters</x:v>
      </x:c>
      <x:c r="E325" s="30" t="str">
        <x:v>Existing utility</x:v>
      </x:c>
      <x:c r="F325" s="30" t="str">
        <x:v>—</x:v>
      </x:c>
      <x:c r="G325" s="30" t="str">
        <x:v>Length Conversion Calculator</x:v>
      </x:c>
      <x:c r="H325" s="30" t="str">
        <x:v>Existing Utility Pages &gt; Unit Converters &gt; Length Conversion Calculator</x:v>
      </x:c>
      <x:c r="I325" s="30" t="str">
        <x:v>length-conversion.html</x:v>
      </x:c>
      <x:c r="J325" s="30" t="str">
        <x:v>Existing — review/restructure</x:v>
      </x:c>
      <x:c r="K325" s="30" t="str">
        <x:v>Unit converter</x:v>
      </x:c>
      <x:c r="L325" s="30" t="str">
        <x:v>/length-conversion.html (existing)</x:v>
      </x:c>
      <x:c r="M325" s="30" t="str">
        <x:v>UTL.length_conversion_calculator</x:v>
      </x:c>
      <x:c r="N325" s="30" t="str">
        <x:v>Required: unit relationship graphic</x:v>
      </x:c>
      <x:c r="O325" s="30" t="str">
        <x:v>Per frozen page-format standard</x:v>
      </x:c>
      <x:c r="P325" s="30" t="str">
        <x:v>Fundamental textbooks only — assign before drafting</x:v>
      </x:c>
      <x:c r="Q325" s="30" t="str">
        <x:v>Audit existing page</x:v>
      </x:c>
      <x:c r="R325" s="30" t="str">
        <x:v>Existing — review/restructure</x:v>
      </x:c>
      <x:c r="S325" s="31" t="str">
        <x:v>Frozen sitemap: existing only — no new calculator or converter scope.</x:v>
      </x:c>
    </x:row>
    <x:row r="326" ht="42" customHeight="1">
      <x:c r="A326" s="50" t="str">
        <x:v>ICH-UTL-016</x:v>
      </x:c>
      <x:c r="B326" s="30" t="str">
        <x:v>Existing utility</x:v>
      </x:c>
      <x:c r="C326" s="53" t="str">
        <x:v>Existing Utilities</x:v>
      </x:c>
      <x:c r="D326" s="30" t="str">
        <x:v>Unit Converters</x:v>
      </x:c>
      <x:c r="E326" s="30" t="str">
        <x:v>Existing utility</x:v>
      </x:c>
      <x:c r="F326" s="30" t="str">
        <x:v>—</x:v>
      </x:c>
      <x:c r="G326" s="30" t="str">
        <x:v>Pressure Conversion Calculator</x:v>
      </x:c>
      <x:c r="H326" s="30" t="str">
        <x:v>Existing Utility Pages &gt; Unit Converters &gt; Pressure Conversion Calculator</x:v>
      </x:c>
      <x:c r="I326" s="30" t="str">
        <x:v>pressure-conversion.html</x:v>
      </x:c>
      <x:c r="J326" s="30" t="str">
        <x:v>Existing — review/restructure</x:v>
      </x:c>
      <x:c r="K326" s="30" t="str">
        <x:v>Unit converter</x:v>
      </x:c>
      <x:c r="L326" s="30" t="str">
        <x:v>/pressure-conversion.html (existing)</x:v>
      </x:c>
      <x:c r="M326" s="30" t="str">
        <x:v>UTL.pressure_conversion_calculator</x:v>
      </x:c>
      <x:c r="N326" s="30" t="str">
        <x:v>Required: unit relationship graphic</x:v>
      </x:c>
      <x:c r="O326" s="30" t="str">
        <x:v>Per frozen page-format standard</x:v>
      </x:c>
      <x:c r="P326" s="30" t="str">
        <x:v>Fundamental textbooks only — assign before drafting</x:v>
      </x:c>
      <x:c r="Q326" s="30" t="str">
        <x:v>Audit existing page</x:v>
      </x:c>
      <x:c r="R326" s="30" t="str">
        <x:v>Existing — review/restructure</x:v>
      </x:c>
      <x:c r="S326" s="31" t="str">
        <x:v>Frozen sitemap: existing only — no new calculator or converter scope.</x:v>
      </x:c>
    </x:row>
    <x:row r="327" ht="42" customHeight="1">
      <x:c r="A327" s="50" t="str">
        <x:v>ICH-UTL-017</x:v>
      </x:c>
      <x:c r="B327" s="30" t="str">
        <x:v>Existing utility</x:v>
      </x:c>
      <x:c r="C327" s="53" t="str">
        <x:v>Existing Utilities</x:v>
      </x:c>
      <x:c r="D327" s="30" t="str">
        <x:v>Unit Converters</x:v>
      </x:c>
      <x:c r="E327" s="30" t="str">
        <x:v>Existing utility</x:v>
      </x:c>
      <x:c r="F327" s="30" t="str">
        <x:v>—</x:v>
      </x:c>
      <x:c r="G327" s="30" t="str">
        <x:v>Temperature Conversion Calculator</x:v>
      </x:c>
      <x:c r="H327" s="30" t="str">
        <x:v>Existing Utility Pages &gt; Unit Converters &gt; Temperature Conversion Calculator</x:v>
      </x:c>
      <x:c r="I327" s="30" t="str">
        <x:v>temperature-conversion.html</x:v>
      </x:c>
      <x:c r="J327" s="30" t="str">
        <x:v>Existing — review/restructure</x:v>
      </x:c>
      <x:c r="K327" s="30" t="str">
        <x:v>Unit converter</x:v>
      </x:c>
      <x:c r="L327" s="30" t="str">
        <x:v>/temperature-conversion.html (existing)</x:v>
      </x:c>
      <x:c r="M327" s="30" t="str">
        <x:v>UTL.temperature_conversion_calculator</x:v>
      </x:c>
      <x:c r="N327" s="30" t="str">
        <x:v>Required: unit relationship graphic</x:v>
      </x:c>
      <x:c r="O327" s="30" t="str">
        <x:v>Per frozen page-format standard</x:v>
      </x:c>
      <x:c r="P327" s="30" t="str">
        <x:v>Fundamental textbooks only — assign before drafting</x:v>
      </x:c>
      <x:c r="Q327" s="30" t="str">
        <x:v>Audit existing page</x:v>
      </x:c>
      <x:c r="R327" s="30" t="str">
        <x:v>Existing — review/restructure</x:v>
      </x:c>
      <x:c r="S327" s="31" t="str">
        <x:v>Frozen sitemap: existing only — no new calculator or converter scope.</x:v>
      </x:c>
    </x:row>
    <x:row r="328" ht="42" customHeight="1">
      <x:c r="A328" s="50" t="str">
        <x:v>ICH-UTL-018</x:v>
      </x:c>
      <x:c r="B328" s="30" t="str">
        <x:v>Existing utility</x:v>
      </x:c>
      <x:c r="C328" s="53" t="str">
        <x:v>Existing Utilities</x:v>
      </x:c>
      <x:c r="D328" s="30" t="str">
        <x:v>Unit Converters</x:v>
      </x:c>
      <x:c r="E328" s="30" t="str">
        <x:v>Existing utility</x:v>
      </x:c>
      <x:c r="F328" s="30" t="str">
        <x:v>—</x:v>
      </x:c>
      <x:c r="G328" s="30" t="str">
        <x:v>Volume Conversion Calculator</x:v>
      </x:c>
      <x:c r="H328" s="30" t="str">
        <x:v>Existing Utility Pages &gt; Unit Converters &gt; Volume Conversion Calculator</x:v>
      </x:c>
      <x:c r="I328" s="30" t="str">
        <x:v>volume-conversion.html</x:v>
      </x:c>
      <x:c r="J328" s="30" t="str">
        <x:v>Existing — review/restructure</x:v>
      </x:c>
      <x:c r="K328" s="30" t="str">
        <x:v>Unit converter</x:v>
      </x:c>
      <x:c r="L328" s="30" t="str">
        <x:v>/volume-conversion.html (existing)</x:v>
      </x:c>
      <x:c r="M328" s="30" t="str">
        <x:v>UTL.volume_conversion_calculator</x:v>
      </x:c>
      <x:c r="N328" s="30" t="str">
        <x:v>Required: unit relationship graphic</x:v>
      </x:c>
      <x:c r="O328" s="30" t="str">
        <x:v>Per frozen page-format standard</x:v>
      </x:c>
      <x:c r="P328" s="30" t="str">
        <x:v>Fundamental textbooks only — assign before drafting</x:v>
      </x:c>
      <x:c r="Q328" s="30" t="str">
        <x:v>Audit existing page</x:v>
      </x:c>
      <x:c r="R328" s="30" t="str">
        <x:v>Existing — review/restructure</x:v>
      </x:c>
      <x:c r="S328" s="31" t="str">
        <x:v>Frozen sitemap: existing only — no new calculator or converter scope.</x:v>
      </x:c>
    </x:row>
    <x:row r="329" ht="42" customHeight="1">
      <x:c r="A329" s="50" t="str">
        <x:v>ICH-UTL-019</x:v>
      </x:c>
      <x:c r="B329" s="30" t="str">
        <x:v>Existing utility</x:v>
      </x:c>
      <x:c r="C329" s="53" t="str">
        <x:v>Existing Utilities</x:v>
      </x:c>
      <x:c r="D329" s="30" t="str">
        <x:v>Unit Converters</x:v>
      </x:c>
      <x:c r="E329" s="30" t="str">
        <x:v>Existing utility</x:v>
      </x:c>
      <x:c r="F329" s="30" t="str">
        <x:v>—</x:v>
      </x:c>
      <x:c r="G329" s="30" t="str">
        <x:v>Weight Conversion Calculator</x:v>
      </x:c>
      <x:c r="H329" s="30" t="str">
        <x:v>Existing Utility Pages &gt; Unit Converters &gt; Weight Conversion Calculator</x:v>
      </x:c>
      <x:c r="I329" s="30" t="str">
        <x:v>weight-conversion.html</x:v>
      </x:c>
      <x:c r="J329" s="30" t="str">
        <x:v>Existing — review/restructure</x:v>
      </x:c>
      <x:c r="K329" s="30" t="str">
        <x:v>Unit converter</x:v>
      </x:c>
      <x:c r="L329" s="30" t="str">
        <x:v>/weight-conversion.html (existing)</x:v>
      </x:c>
      <x:c r="M329" s="30" t="str">
        <x:v>UTL.weight_conversion_calculator</x:v>
      </x:c>
      <x:c r="N329" s="30" t="str">
        <x:v>Required: unit relationship graphic</x:v>
      </x:c>
      <x:c r="O329" s="30" t="str">
        <x:v>Per frozen page-format standard</x:v>
      </x:c>
      <x:c r="P329" s="30" t="str">
        <x:v>Fundamental textbooks only — assign before drafting</x:v>
      </x:c>
      <x:c r="Q329" s="30" t="str">
        <x:v>Audit existing page</x:v>
      </x:c>
      <x:c r="R329" s="30" t="str">
        <x:v>Existing — review/restructure</x:v>
      </x:c>
      <x:c r="S329" s="31" t="str">
        <x:v>Frozen sitemap: existing only — no new calculator or converter scope.</x:v>
      </x:c>
    </x:row>
    <x:row r="330" ht="42" customHeight="1">
      <x:c r="A330" s="50" t="str">
        <x:v>ICH-SUP-002</x:v>
      </x:c>
      <x:c r="B330" s="30" t="str">
        <x:v>Support page</x:v>
      </x:c>
      <x:c r="C330" s="53" t="str">
        <x:v>Site Support</x:v>
      </x:c>
      <x:c r="D330" s="30" t="str">
        <x:v>—</x:v>
      </x:c>
      <x:c r="E330" s="30" t="str">
        <x:v>—</x:v>
      </x:c>
      <x:c r="F330" s="30" t="str">
        <x:v>—</x:v>
      </x:c>
      <x:c r="G330" s="30" t="str">
        <x:v>About</x:v>
      </x:c>
      <x:c r="H330" s="30" t="str">
        <x:v>Site Support &gt; About</x:v>
      </x:c>
      <x:c r="I330" s="30" t="str">
        <x:v>about.html</x:v>
      </x:c>
      <x:c r="J330" s="30" t="str">
        <x:v>Existing — review/restructure</x:v>
      </x:c>
      <x:c r="K330" s="30" t="str">
        <x:v>Utility or support page</x:v>
      </x:c>
      <x:c r="L330" s="30" t="str">
        <x:v>/about.html (existing)</x:v>
      </x:c>
      <x:c r="M330" s="30" t="str">
        <x:v>SUP.about</x:v>
      </x:c>
      <x:c r="N330" s="30" t="str">
        <x:v>Review required</x:v>
      </x:c>
      <x:c r="O330" s="30" t="str">
        <x:v>Not applicable</x:v>
      </x:c>
      <x:c r="P330" s="30" t="str">
        <x:v>Not applicable</x:v>
      </x:c>
      <x:c r="Q330" s="30" t="str">
        <x:v>Audit existing page</x:v>
      </x:c>
      <x:c r="R330" s="30" t="str">
        <x:v>Existing — review/restructure</x:v>
      </x:c>
      <x:c r="S330" s="31" t="str">
        <x:v>Site policy/support asset; not part of the frozen engineering content hierarchy.</x:v>
      </x:c>
    </x:row>
    <x:row r="331" ht="42" customHeight="1">
      <x:c r="A331" s="50" t="str">
        <x:v>ICH-SUP-003</x:v>
      </x:c>
      <x:c r="B331" s="30" t="str">
        <x:v>Support page</x:v>
      </x:c>
      <x:c r="C331" s="53" t="str">
        <x:v>Site Support</x:v>
      </x:c>
      <x:c r="D331" s="30" t="str">
        <x:v>—</x:v>
      </x:c>
      <x:c r="E331" s="30" t="str">
        <x:v>—</x:v>
      </x:c>
      <x:c r="F331" s="30" t="str">
        <x:v>—</x:v>
      </x:c>
      <x:c r="G331" s="30" t="str">
        <x:v>Contact</x:v>
      </x:c>
      <x:c r="H331" s="30" t="str">
        <x:v>Site Support &gt; Contact</x:v>
      </x:c>
      <x:c r="I331" s="30" t="str">
        <x:v>contact.html</x:v>
      </x:c>
      <x:c r="J331" s="30" t="str">
        <x:v>Existing — review/restructure</x:v>
      </x:c>
      <x:c r="K331" s="30" t="str">
        <x:v>Utility or support page</x:v>
      </x:c>
      <x:c r="L331" s="30" t="str">
        <x:v>/contact.html (existing)</x:v>
      </x:c>
      <x:c r="M331" s="30" t="str">
        <x:v>SUP.contact</x:v>
      </x:c>
      <x:c r="N331" s="30" t="str">
        <x:v>Review required</x:v>
      </x:c>
      <x:c r="O331" s="30" t="str">
        <x:v>Not applicable</x:v>
      </x:c>
      <x:c r="P331" s="30" t="str">
        <x:v>Not applicable</x:v>
      </x:c>
      <x:c r="Q331" s="30" t="str">
        <x:v>Audit existing page</x:v>
      </x:c>
      <x:c r="R331" s="30" t="str">
        <x:v>Existing — review/restructure</x:v>
      </x:c>
      <x:c r="S331" s="31" t="str">
        <x:v>Site policy/support asset; not part of the frozen engineering content hierarchy.</x:v>
      </x:c>
    </x:row>
    <x:row r="332" ht="42" customHeight="1">
      <x:c r="A332" s="50" t="str">
        <x:v>ICH-SUP-004</x:v>
      </x:c>
      <x:c r="B332" s="30" t="str">
        <x:v>Support page</x:v>
      </x:c>
      <x:c r="C332" s="53" t="str">
        <x:v>Site Support</x:v>
      </x:c>
      <x:c r="D332" s="30" t="str">
        <x:v>—</x:v>
      </x:c>
      <x:c r="E332" s="30" t="str">
        <x:v>—</x:v>
      </x:c>
      <x:c r="F332" s="30" t="str">
        <x:v>—</x:v>
      </x:c>
      <x:c r="G332" s="30" t="str">
        <x:v>Terms of Use</x:v>
      </x:c>
      <x:c r="H332" s="30" t="str">
        <x:v>Site Support &gt; Terms of Use</x:v>
      </x:c>
      <x:c r="I332" s="30" t="str">
        <x:v>terms.html</x:v>
      </x:c>
      <x:c r="J332" s="30" t="str">
        <x:v>Existing — review/restructure</x:v>
      </x:c>
      <x:c r="K332" s="30" t="str">
        <x:v>Utility or support page</x:v>
      </x:c>
      <x:c r="L332" s="30" t="str">
        <x:v>/terms.html (existing)</x:v>
      </x:c>
      <x:c r="M332" s="30" t="str">
        <x:v>SUP.terms_of_use</x:v>
      </x:c>
      <x:c r="N332" s="30" t="str">
        <x:v>Review required</x:v>
      </x:c>
      <x:c r="O332" s="30" t="str">
        <x:v>Not applicable</x:v>
      </x:c>
      <x:c r="P332" s="30" t="str">
        <x:v>Not applicable</x:v>
      </x:c>
      <x:c r="Q332" s="30" t="str">
        <x:v>Audit existing page</x:v>
      </x:c>
      <x:c r="R332" s="30" t="str">
        <x:v>Existing — review/restructure</x:v>
      </x:c>
      <x:c r="S332" s="31" t="str">
        <x:v>Site policy/support asset; not part of the frozen engineering content hierarchy.</x:v>
      </x:c>
    </x:row>
    <x:row r="333" ht="42" customHeight="1">
      <x:c r="A333" s="51" t="str">
        <x:v>ICH-SUP-005</x:v>
      </x:c>
      <x:c r="B333" s="33" t="str">
        <x:v>Support page</x:v>
      </x:c>
      <x:c r="C333" s="54" t="str">
        <x:v>Site Support</x:v>
      </x:c>
      <x:c r="D333" s="33" t="str">
        <x:v>—</x:v>
      </x:c>
      <x:c r="E333" s="33" t="str">
        <x:v>—</x:v>
      </x:c>
      <x:c r="F333" s="33" t="str">
        <x:v>—</x:v>
      </x:c>
      <x:c r="G333" s="33" t="str">
        <x:v>Privacy Policy</x:v>
      </x:c>
      <x:c r="H333" s="33" t="str">
        <x:v>Site Support &gt; Privacy Policy</x:v>
      </x:c>
      <x:c r="I333" s="33" t="str">
        <x:v>privacy.html</x:v>
      </x:c>
      <x:c r="J333" s="33" t="str">
        <x:v>Existing — review/restructure</x:v>
      </x:c>
      <x:c r="K333" s="33" t="str">
        <x:v>Utility or support page</x:v>
      </x:c>
      <x:c r="L333" s="33" t="str">
        <x:v>/privacy.html (existing)</x:v>
      </x:c>
      <x:c r="M333" s="33" t="str">
        <x:v>SUP.privacy_policy</x:v>
      </x:c>
      <x:c r="N333" s="33" t="str">
        <x:v>Review required</x:v>
      </x:c>
      <x:c r="O333" s="33" t="str">
        <x:v>Not applicable</x:v>
      </x:c>
      <x:c r="P333" s="33" t="str">
        <x:v>Not applicable</x:v>
      </x:c>
      <x:c r="Q333" s="33" t="str">
        <x:v>Audit existing page</x:v>
      </x:c>
      <x:c r="R333" s="33" t="str">
        <x:v>Existing — review/restructure</x:v>
      </x:c>
      <x:c r="S333" s="34" t="str">
        <x:v>Site policy/support asset; not part of the frozen engineering content hierarchy.</x:v>
      </x:c>
    </x:row>
  </x:sheetData>
  <x:mergeCells>
    <x:mergeCell ref="A1:S1"/>
    <x:mergeCell ref="A2:S2"/>
    <x:mergeCell ref="A4:S4"/>
  </x:mergeCells>
  <x:conditionalFormatting sqref="J6:J333">
    <x:cfRule type="containsText" dxfId="0" priority="1" operator="containsText" text="Existing"/>
    <x:cfRule type="containsText" dxfId="1" priority="2" operator="containsText" text="Planned"/>
  </x:conditionalFormatting>
  <x:conditionalFormatting sqref="Q6:Q333">
    <x:cfRule type="containsText" dxfId="2" priority="3" operator="containsText" text="Not started"/>
    <x:cfRule type="containsText" dxfId="3" priority="4" operator="containsText" text="complete"/>
  </x:conditionalFormatting>
  <x:dataValidations count="3">
    <x:dataValidation type="list" sqref="J6:J333">
      <x:formula1>'Controlled Lists'!$A$5:$A$9</x:formula1>
    </x:dataValidation>
    <x:dataValidation type="list" sqref="Q6:Q333">
      <x:formula1>'Controlled Lists'!$B$5:$B$9</x:formula1>
    </x:dataValidation>
    <x:dataValidation type="list" sqref="R6:R333">
      <x:formula1>'Controlled Lists'!$C$5:$C$9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9f0840c1ad4d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9" hidden="0" customWidth="1"/>
    <x:col min="3" max="3" width="16" hidden="0" customWidth="1"/>
    <x:col min="4" max="4" width="43" hidden="0" customWidth="1"/>
    <x:col min="5" max="5" width="27" hidden="0" customWidth="1"/>
    <x:col min="6" max="6" width="38" hidden="0" customWidth="1"/>
    <x:col min="7" max="7" width="39" hidden="0" customWidth="1"/>
    <x:col min="8" max="8" width="59" hidden="0" customWidth="1"/>
  </x:cols>
  <x:sheetData>
    <x:row r="1" ht="30" customHeight="1">
      <x:c r="A1" s="4" t="str">
        <x:v>Existing Assets — Initial Audit</x:v>
      </x:c>
    </x:row>
    <x:row r="2" ht="34" customHeight="1">
      <x:c r="A2" s="8" t="str">
        <x:v>Observed files are listed for alignment and review. This sheet does not approve content placement or a production change.</x:v>
      </x:c>
    </x:row>
    <x:row r="4" ht="34" customHeight="1">
      <x:c r="A4" s="14" t="str">
        <x:v>Current File</x:v>
      </x:c>
      <x:c r="B4" s="14" t="str">
        <x:v>Current Asset Class</x:v>
      </x:c>
      <x:c r="C4" s="14" t="str">
        <x:v>Register Content ID</x:v>
      </x:c>
      <x:c r="D4" s="14" t="str">
        <x:v>Register Title</x:v>
      </x:c>
      <x:c r="E4" s="14" t="str">
        <x:v>Register State</x:v>
      </x:c>
      <x:c r="F4" s="14" t="str">
        <x:v>Frozen Hierarchy Alignment</x:v>
      </x:c>
      <x:c r="G4" s="14" t="str">
        <x:v>Review Action</x:v>
      </x:c>
      <x:c r="H4" s="14" t="str">
        <x:v>Notes</x:v>
      </x:c>
    </x:row>
    <x:row r="5" ht="36" customHeight="1">
      <x:c r="A5" s="49" t="str">
        <x:v>about.html</x:v>
      </x:c>
      <x:c r="B5" s="27" t="str">
        <x:v>Utility or support page</x:v>
      </x:c>
      <x:c r="C5" s="27" t="str">
        <x:v>ICH-SUP-002</x:v>
      </x:c>
      <x:c r="D5" s="27" t="str">
        <x:v>About</x:v>
      </x:c>
      <x:c r="E5" s="27" t="str">
        <x:v>Existing — review/restructure</x:v>
      </x:c>
      <x:c r="F5" s="27" t="str">
        <x:v>Support or existing utility</x:v>
      </x:c>
      <x:c r="G5" s="27" t="str">
        <x:v>Format / links / references / visual audit</x:v>
      </x:c>
      <x:c r="H5" s="28" t="str">
        <x:v>Site policy/support asset; not part of the frozen engineering content hierarchy.</x:v>
      </x:c>
    </x:row>
    <x:row r="6" ht="36" customHeight="1">
      <x:c r="A6" s="50" t="str">
        <x:v>air-density-explained.html</x:v>
      </x:c>
      <x:c r="B6" s="30" t="str">
        <x:v>Engineering knowledge page</x:v>
      </x:c>
      <x:c r="C6" s="30" t="str">
        <x:v>ICH-ENG-002</x:v>
      </x:c>
      <x:c r="D6" s="30" t="str">
        <x:v>Air Density: Formula, Factors and Industrial Use</x:v>
      </x:c>
      <x:c r="E6" s="30" t="str">
        <x:v>Existing — review/restructure</x:v>
      </x:c>
      <x:c r="F6" s="30" t="str">
        <x:v>Mapped to frozen hierarchy leaf</x:v>
      </x:c>
      <x:c r="G6" s="30" t="str">
        <x:v>Format / links / references / visual audit</x:v>
      </x:c>
      <x:c r="H6" s="31" t="str">
        <x:v>Existing page requires format, links, references and visual audit.</x:v>
      </x:c>
    </x:row>
    <x:row r="7" ht="36" customHeight="1">
      <x:c r="A7" s="50" t="str">
        <x:v>air-density.html</x:v>
      </x:c>
      <x:c r="B7" s="30" t="str">
        <x:v>Engineering calculator</x:v>
      </x:c>
      <x:c r="C7" s="30" t="str">
        <x:v>ICH-UTL-002</x:v>
      </x:c>
      <x:c r="D7" s="30" t="str">
        <x:v>Air Density Calculator</x:v>
      </x:c>
      <x:c r="E7" s="30" t="str">
        <x:v>Existing — review/restructure</x:v>
      </x:c>
      <x:c r="F7" s="30" t="str">
        <x:v>Support or existing utility</x:v>
      </x:c>
      <x:c r="G7" s="30" t="str">
        <x:v>Format / links / references / visual audit</x:v>
      </x:c>
      <x:c r="H7" s="31" t="str">
        <x:v>Frozen sitemap: existing only — no new calculator or converter scope.</x:v>
      </x:c>
    </x:row>
    <x:row r="8" ht="36" customHeight="1">
      <x:c r="A8" s="50" t="str">
        <x:v>air-pollution-control-systems.html</x:v>
      </x:c>
      <x:c r="B8" s="30" t="str">
        <x:v>Engineering knowledge page</x:v>
      </x:c>
      <x:c r="C8" s="30" t="str">
        <x:v>ICH-ENG-102</x:v>
      </x:c>
      <x:c r="D8" s="30" t="str">
        <x:v>Air Pollution Control Systems</x:v>
      </x:c>
      <x:c r="E8" s="30" t="str">
        <x:v>Existing — review/restructure</x:v>
      </x:c>
      <x:c r="F8" s="30" t="str">
        <x:v>Registered legacy — not in frozen hierarchy</x:v>
      </x:c>
      <x:c r="G8" s="30" t="str">
        <x:v>Format / links / references / visual audit</x:v>
      </x:c>
      <x:c r="H8" s="31" t="str">
        <x:v>Registered for audit only. This record does not add the asset to the sitemap; retain, relocate or retire only with owner approval.</x:v>
      </x:c>
    </x:row>
    <x:row r="9" ht="36" customHeight="1">
      <x:c r="A9" s="50" t="str">
        <x:v>area-conversion.html</x:v>
      </x:c>
      <x:c r="B9" s="30" t="str">
        <x:v>Unit converter</x:v>
      </x:c>
      <x:c r="C9" s="30" t="str">
        <x:v>ICH-UTL-014</x:v>
      </x:c>
      <x:c r="D9" s="30" t="str">
        <x:v>Area Conversion Calculator</x:v>
      </x:c>
      <x:c r="E9" s="30" t="str">
        <x:v>Existing — review/restructure</x:v>
      </x:c>
      <x:c r="F9" s="30" t="str">
        <x:v>Support or existing utility</x:v>
      </x:c>
      <x:c r="G9" s="30" t="str">
        <x:v>Format / links / references / visual audit</x:v>
      </x:c>
      <x:c r="H9" s="31" t="str">
        <x:v>Frozen sitemap: existing only — no new calculator or converter scope.</x:v>
      </x:c>
    </x:row>
    <x:row r="10" ht="36" customHeight="1">
      <x:c r="A10" s="50" t="str">
        <x:v>bag-filter.html</x:v>
      </x:c>
      <x:c r="B10" s="30" t="str">
        <x:v>Industrial equipment page</x:v>
      </x:c>
      <x:c r="C10" s="30" t="str">
        <x:v>ICH-EQP-096</x:v>
      </x:c>
      <x:c r="D10" s="30" t="str">
        <x:v>Bag Filter</x:v>
      </x:c>
      <x:c r="E10" s="30" t="str">
        <x:v>Existing — review/restructure</x:v>
      </x:c>
      <x:c r="F10" s="30" t="str">
        <x:v>Registered legacy — not in frozen hierarchy</x:v>
      </x:c>
      <x:c r="G10" s="30" t="str">
        <x:v>Format / links / references / visual audit</x:v>
      </x:c>
      <x:c r="H10" s="31" t="str">
        <x:v>Registered for audit only. This record does not add the asset to the sitemap; retain, relocate or retire only with owner approval.</x:v>
      </x:c>
    </x:row>
    <x:row r="11" ht="36" customHeight="1">
      <x:c r="A11" s="50" t="str">
        <x:v>bernoulli-equation-explained.html</x:v>
      </x:c>
      <x:c r="B11" s="30" t="str">
        <x:v>Engineering knowledge page</x:v>
      </x:c>
      <x:c r="C11" s="30" t="str">
        <x:v>ICH-ENG-006</x:v>
      </x:c>
      <x:c r="D11" s="30" t="str">
        <x:v>Bernoulli Equation: Principle and Applications</x:v>
      </x:c>
      <x:c r="E11" s="30" t="str">
        <x:v>Existing — review/restructure</x:v>
      </x:c>
      <x:c r="F11" s="30" t="str">
        <x:v>Mapped to frozen hierarchy leaf</x:v>
      </x:c>
      <x:c r="G11" s="30" t="str">
        <x:v>Format / links / references / visual audit</x:v>
      </x:c>
      <x:c r="H11" s="31" t="str">
        <x:v>Existing page requires format, links, references and visual audit.</x:v>
      </x:c>
    </x:row>
    <x:row r="12" ht="36" customHeight="1">
      <x:c r="A12" s="50" t="str">
        <x:v>boiler-efficiency-explained.html</x:v>
      </x:c>
      <x:c r="B12" s="30" t="str">
        <x:v>Engineering knowledge page</x:v>
      </x:c>
      <x:c r="C12" s="30" t="str">
        <x:v>ICH-ENG-027</x:v>
      </x:c>
      <x:c r="D12" s="30" t="str">
        <x:v>Boiler Efficiency and Heat Losses</x:v>
      </x:c>
      <x:c r="E12" s="30" t="str">
        <x:v>Existing — review/restructure</x:v>
      </x:c>
      <x:c r="F12" s="30" t="str">
        <x:v>Mapped to frozen hierarchy leaf</x:v>
      </x:c>
      <x:c r="G12" s="30" t="str">
        <x:v>Format / links / references / visual audit</x:v>
      </x:c>
      <x:c r="H12" s="31" t="str">
        <x:v>Existing page requires format, links, references and visual audit.</x:v>
      </x:c>
    </x:row>
    <x:row r="13" ht="36" customHeight="1">
      <x:c r="A13" s="50" t="str">
        <x:v>contact.html</x:v>
      </x:c>
      <x:c r="B13" s="30" t="str">
        <x:v>Utility or support page</x:v>
      </x:c>
      <x:c r="C13" s="30" t="str">
        <x:v>ICH-SUP-003</x:v>
      </x:c>
      <x:c r="D13" s="30" t="str">
        <x:v>Contact</x:v>
      </x:c>
      <x:c r="E13" s="30" t="str">
        <x:v>Existing — review/restructure</x:v>
      </x:c>
      <x:c r="F13" s="30" t="str">
        <x:v>Support or existing utility</x:v>
      </x:c>
      <x:c r="G13" s="30" t="str">
        <x:v>Format / links / references / visual audit</x:v>
      </x:c>
      <x:c r="H13" s="31" t="str">
        <x:v>Site policy/support asset; not part of the frozen engineering content hierarchy.</x:v>
      </x:c>
    </x:row>
    <x:row r="14" ht="36" customHeight="1">
      <x:c r="A14" s="50" t="str">
        <x:v>duct-flow-calculator.html</x:v>
      </x:c>
      <x:c r="B14" s="30" t="str">
        <x:v>Engineering calculator</x:v>
      </x:c>
      <x:c r="C14" s="30" t="str">
        <x:v>ICH-UTL-003</x:v>
      </x:c>
      <x:c r="D14" s="30" t="str">
        <x:v>Duct Flow Rate Calculator</x:v>
      </x:c>
      <x:c r="E14" s="30" t="str">
        <x:v>Existing — review/restructure</x:v>
      </x:c>
      <x:c r="F14" s="30" t="str">
        <x:v>Support or existing utility</x:v>
      </x:c>
      <x:c r="G14" s="30" t="str">
        <x:v>Format / links / references / visual audit</x:v>
      </x:c>
      <x:c r="H14" s="31" t="str">
        <x:v>Frozen sitemap: existing only — no new calculator or converter scope.</x:v>
      </x:c>
    </x:row>
    <x:row r="15" ht="36" customHeight="1">
      <x:c r="A15" s="50" t="str">
        <x:v>duct-flow-rate-explained.html</x:v>
      </x:c>
      <x:c r="B15" s="30" t="str">
        <x:v>Engineering knowledge page</x:v>
      </x:c>
      <x:c r="C15" s="30" t="str">
        <x:v>ICH-ENG-017</x:v>
      </x:c>
      <x:c r="D15" s="30" t="str">
        <x:v>Duct Flow Rate, Velocity and Area</x:v>
      </x:c>
      <x:c r="E15" s="30" t="str">
        <x:v>Existing — review/restructure</x:v>
      </x:c>
      <x:c r="F15" s="30" t="str">
        <x:v>Mapped to frozen hierarchy leaf</x:v>
      </x:c>
      <x:c r="G15" s="30" t="str">
        <x:v>Format / links / references / visual audit</x:v>
      </x:c>
      <x:c r="H15" s="31" t="str">
        <x:v>Existing page requires format, links, references and visual audit.</x:v>
      </x:c>
    </x:row>
    <x:row r="16" ht="36" customHeight="1">
      <x:c r="A16" s="50" t="str">
        <x:v>duct-weight.html</x:v>
      </x:c>
      <x:c r="B16" s="30" t="str">
        <x:v>Engineering calculator</x:v>
      </x:c>
      <x:c r="C16" s="30" t="str">
        <x:v>ICH-UTL-004</x:v>
      </x:c>
      <x:c r="D16" s="30" t="str">
        <x:v>Duct Weight Calculator</x:v>
      </x:c>
      <x:c r="E16" s="30" t="str">
        <x:v>Existing — review/restructure</x:v>
      </x:c>
      <x:c r="F16" s="30" t="str">
        <x:v>Support or existing utility</x:v>
      </x:c>
      <x:c r="G16" s="30" t="str">
        <x:v>Format / links / references / visual audit</x:v>
      </x:c>
      <x:c r="H16" s="31" t="str">
        <x:v>Frozen sitemap: existing only — no new calculator or converter scope.</x:v>
      </x:c>
    </x:row>
    <x:row r="17" ht="36" customHeight="1">
      <x:c r="A17" s="50" t="str">
        <x:v>electrostatic-precipitator.html</x:v>
      </x:c>
      <x:c r="B17" s="30" t="str">
        <x:v>Industrial equipment page</x:v>
      </x:c>
      <x:c r="C17" s="30" t="str">
        <x:v>ICH-EQP-097</x:v>
      </x:c>
      <x:c r="D17" s="30" t="str">
        <x:v>Electrostatic Precipitator</x:v>
      </x:c>
      <x:c r="E17" s="30" t="str">
        <x:v>Existing — review/restructure</x:v>
      </x:c>
      <x:c r="F17" s="30" t="str">
        <x:v>Registered legacy — not in frozen hierarchy</x:v>
      </x:c>
      <x:c r="G17" s="30" t="str">
        <x:v>Format / links / references / visual audit</x:v>
      </x:c>
      <x:c r="H17" s="31" t="str">
        <x:v>Registered for audit only. This record does not add the asset to the sitemap; retain, relocate or retire only with owner approval.</x:v>
      </x:c>
    </x:row>
    <x:row r="18" ht="36" customHeight="1">
      <x:c r="A18" s="50" t="str">
        <x:v>esp-vs-bag-filter.html</x:v>
      </x:c>
      <x:c r="B18" s="30" t="str">
        <x:v>Industrial equipment page</x:v>
      </x:c>
      <x:c r="C18" s="30" t="str">
        <x:v>ICH-EQP-098</x:v>
      </x:c>
      <x:c r="D18" s="30" t="str">
        <x:v>ESP vs Bag Filter</x:v>
      </x:c>
      <x:c r="E18" s="30" t="str">
        <x:v>Existing — review/restructure</x:v>
      </x:c>
      <x:c r="F18" s="30" t="str">
        <x:v>Registered legacy — not in frozen hierarchy</x:v>
      </x:c>
      <x:c r="G18" s="30" t="str">
        <x:v>Format / links / references / visual audit</x:v>
      </x:c>
      <x:c r="H18" s="31" t="str">
        <x:v>Registered for audit only. This record does not add the asset to the sitemap; retain, relocate or retire only with owner approval.</x:v>
      </x:c>
    </x:row>
    <x:row r="19" ht="36" customHeight="1">
      <x:c r="A19" s="50" t="str">
        <x:v>fabrication-bom-creator.html</x:v>
      </x:c>
      <x:c r="B19" s="30" t="str">
        <x:v>Engineering calculator</x:v>
      </x:c>
      <x:c r="C19" s="30" t="str">
        <x:v>ICH-UTL-013</x:v>
      </x:c>
      <x:c r="D19" s="30" t="str">
        <x:v>Fabrication BOM Creator</x:v>
      </x:c>
      <x:c r="E19" s="30" t="str">
        <x:v>Existing — review/restructure</x:v>
      </x:c>
      <x:c r="F19" s="30" t="str">
        <x:v>Support or existing utility</x:v>
      </x:c>
      <x:c r="G19" s="30" t="str">
        <x:v>Format / links / references / visual audit</x:v>
      </x:c>
      <x:c r="H19" s="31" t="str">
        <x:v>Existing asset not named in the frozen utility list; retain as legacy utility pending owner placement decision.</x:v>
      </x:c>
    </x:row>
    <x:row r="20" ht="36" customHeight="1">
      <x:c r="A20" s="50" t="str">
        <x:v>flange-weight.html</x:v>
      </x:c>
      <x:c r="B20" s="30" t="str">
        <x:v>Engineering calculator</x:v>
      </x:c>
      <x:c r="C20" s="30" t="str">
        <x:v>ICH-UTL-005</x:v>
      </x:c>
      <x:c r="D20" s="30" t="str">
        <x:v>Flange Weight Calculator</x:v>
      </x:c>
      <x:c r="E20" s="30" t="str">
        <x:v>Existing — review/restructure</x:v>
      </x:c>
      <x:c r="F20" s="30" t="str">
        <x:v>Support or existing utility</x:v>
      </x:c>
      <x:c r="G20" s="30" t="str">
        <x:v>Format / links / references / visual audit</x:v>
      </x:c>
      <x:c r="H20" s="31" t="str">
        <x:v>Frozen sitemap: existing only — no new calculator or converter scope.</x:v>
      </x:c>
    </x:row>
    <x:row r="21" ht="36" customHeight="1">
      <x:c r="A21" s="50" t="str">
        <x:v>heat-conduction-explained.html</x:v>
      </x:c>
      <x:c r="B21" s="30" t="str">
        <x:v>Engineering knowledge page</x:v>
      </x:c>
      <x:c r="C21" s="30" t="str">
        <x:v>ICH-ENG-019</x:v>
      </x:c>
      <x:c r="D21" s="30" t="str">
        <x:v>Heat Conduction: Principles, Formula and Industrial Applications</x:v>
      </x:c>
      <x:c r="E21" s="30" t="str">
        <x:v>Existing — review/restructure</x:v>
      </x:c>
      <x:c r="F21" s="30" t="str">
        <x:v>Mapped to frozen hierarchy leaf</x:v>
      </x:c>
      <x:c r="G21" s="30" t="str">
        <x:v>Format / links / references / visual audit</x:v>
      </x:c>
      <x:c r="H21" s="31" t="str">
        <x:v>Existing page requires format, links, references and visual audit.</x:v>
      </x:c>
    </x:row>
    <x:row r="22" ht="36" customHeight="1">
      <x:c r="A22" s="50" t="str">
        <x:v>heat-transfer-explained.html</x:v>
      </x:c>
      <x:c r="B22" s="30" t="str">
        <x:v>Engineering knowledge page</x:v>
      </x:c>
      <x:c r="C22" s="30" t="str">
        <x:v>ICH-ENG-103</x:v>
      </x:c>
      <x:c r="D22" s="30" t="str">
        <x:v>Heat Transfer</x:v>
      </x:c>
      <x:c r="E22" s="30" t="str">
        <x:v>Existing — review/restructure</x:v>
      </x:c>
      <x:c r="F22" s="30" t="str">
        <x:v>Registered legacy — not in frozen hierarchy</x:v>
      </x:c>
      <x:c r="G22" s="30" t="str">
        <x:v>Format / links / references / visual audit</x:v>
      </x:c>
      <x:c r="H22" s="31" t="str">
        <x:v>Registered for audit only. This record does not add the asset to the sitemap; retain, relocate or retire only with owner approval.</x:v>
      </x:c>
    </x:row>
    <x:row r="23" ht="36" customHeight="1">
      <x:c r="A23" s="50" t="str">
        <x:v>heat-transfer.html</x:v>
      </x:c>
      <x:c r="B23" s="30" t="str">
        <x:v>Engineering calculator</x:v>
      </x:c>
      <x:c r="C23" s="30" t="str">
        <x:v>ICH-UTL-006</x:v>
      </x:c>
      <x:c r="D23" s="30" t="str">
        <x:v>Heat Transfer Calculator</x:v>
      </x:c>
      <x:c r="E23" s="30" t="str">
        <x:v>Existing — review/restructure</x:v>
      </x:c>
      <x:c r="F23" s="30" t="str">
        <x:v>Support or existing utility</x:v>
      </x:c>
      <x:c r="G23" s="30" t="str">
        <x:v>Format / links / references / visual audit</x:v>
      </x:c>
      <x:c r="H23" s="31" t="str">
        <x:v>Frozen sitemap: existing only — no new calculator or converter scope.</x:v>
      </x:c>
    </x:row>
    <x:row r="24" ht="36" customHeight="1">
      <x:c r="A24" s="50" t="str">
        <x:v>hopper-valley-angle-calculator.html</x:v>
      </x:c>
      <x:c r="B24" s="30" t="str">
        <x:v>Engineering calculator</x:v>
      </x:c>
      <x:c r="C24" s="30" t="str">
        <x:v>ICH-UTL-007</x:v>
      </x:c>
      <x:c r="D24" s="30" t="str">
        <x:v>Hopper Valley Angle Calculator</x:v>
      </x:c>
      <x:c r="E24" s="30" t="str">
        <x:v>Existing — review/restructure</x:v>
      </x:c>
      <x:c r="F24" s="30" t="str">
        <x:v>Support or existing utility</x:v>
      </x:c>
      <x:c r="G24" s="30" t="str">
        <x:v>Format / links / references / visual audit</x:v>
      </x:c>
      <x:c r="H24" s="31" t="str">
        <x:v>Frozen sitemap: existing only — no new calculator or converter scope.</x:v>
      </x:c>
    </x:row>
    <x:row r="25" ht="36" customHeight="1">
      <x:c r="A25" s="50" t="str">
        <x:v>index.html</x:v>
      </x:c>
      <x:c r="B25" s="30" t="str">
        <x:v>Home</x:v>
      </x:c>
      <x:c r="C25" s="30" t="str">
        <x:v>ICH-SUP-001</x:v>
      </x:c>
      <x:c r="D25" s="30" t="str">
        <x:v>Industrial Calculation Hub Home</x:v>
      </x:c>
      <x:c r="E25" s="30" t="str">
        <x:v>Existing — review/restructure</x:v>
      </x:c>
      <x:c r="F25" s="30" t="str">
        <x:v>Support or existing utility</x:v>
      </x:c>
      <x:c r="G25" s="30" t="str">
        <x:v>Format / links / references / visual audit</x:v>
      </x:c>
      <x:c r="H25" s="31" t="str">
        <x:v>Production design remains unchanged; the brighter prototype is under owner review.</x:v>
      </x:c>
    </x:row>
    <x:row r="26" ht="36" customHeight="1">
      <x:c r="A26" s="50" t="str">
        <x:v>length-conversion.html</x:v>
      </x:c>
      <x:c r="B26" s="30" t="str">
        <x:v>Unit converter</x:v>
      </x:c>
      <x:c r="C26" s="30" t="str">
        <x:v>ICH-UTL-015</x:v>
      </x:c>
      <x:c r="D26" s="30" t="str">
        <x:v>Length Conversion Calculator</x:v>
      </x:c>
      <x:c r="E26" s="30" t="str">
        <x:v>Existing — review/restructure</x:v>
      </x:c>
      <x:c r="F26" s="30" t="str">
        <x:v>Support or existing utility</x:v>
      </x:c>
      <x:c r="G26" s="30" t="str">
        <x:v>Format / links / references / visual audit</x:v>
      </x:c>
      <x:c r="H26" s="31" t="str">
        <x:v>Frozen sitemap: existing only — no new calculator or converter scope.</x:v>
      </x:c>
    </x:row>
    <x:row r="27" ht="36" customHeight="1">
      <x:c r="A27" s="50" t="str">
        <x:v>pipe-flow-basics.html</x:v>
      </x:c>
      <x:c r="B27" s="30" t="str">
        <x:v>Engineering knowledge page</x:v>
      </x:c>
      <x:c r="C27" s="30" t="str">
        <x:v>ICH-ENG-008</x:v>
      </x:c>
      <x:c r="D27" s="30" t="str">
        <x:v>Pipe Flow Rate, Velocity and Diameter</x:v>
      </x:c>
      <x:c r="E27" s="30" t="str">
        <x:v>Existing — review/restructure</x:v>
      </x:c>
      <x:c r="F27" s="30" t="str">
        <x:v>Mapped to frozen hierarchy leaf</x:v>
      </x:c>
      <x:c r="G27" s="30" t="str">
        <x:v>Format / links / references / visual audit</x:v>
      </x:c>
      <x:c r="H27" s="31" t="str">
        <x:v>Existing page requires format, links, references and visual audit.</x:v>
      </x:c>
    </x:row>
    <x:row r="28" ht="36" customHeight="1">
      <x:c r="A28" s="50" t="str">
        <x:v>pipe-flow-calculator.html</x:v>
      </x:c>
      <x:c r="B28" s="30" t="str">
        <x:v>Engineering calculator</x:v>
      </x:c>
      <x:c r="C28" s="30" t="str">
        <x:v>ICH-UTL-008</x:v>
      </x:c>
      <x:c r="D28" s="30" t="str">
        <x:v>Pipe Flow Rate Calculator</x:v>
      </x:c>
      <x:c r="E28" s="30" t="str">
        <x:v>Existing — review/restructure</x:v>
      </x:c>
      <x:c r="F28" s="30" t="str">
        <x:v>Support or existing utility</x:v>
      </x:c>
      <x:c r="G28" s="30" t="str">
        <x:v>Format / links / references / visual audit</x:v>
      </x:c>
      <x:c r="H28" s="31" t="str">
        <x:v>Frozen sitemap: existing only — no new calculator or converter scope.</x:v>
      </x:c>
    </x:row>
    <x:row r="29" ht="36" customHeight="1">
      <x:c r="A29" s="50" t="str">
        <x:v>plate-weight.html</x:v>
      </x:c>
      <x:c r="B29" s="30" t="str">
        <x:v>Engineering calculator</x:v>
      </x:c>
      <x:c r="C29" s="30" t="str">
        <x:v>ICH-UTL-012</x:v>
      </x:c>
      <x:c r="D29" s="30" t="str">
        <x:v>Plate Weight Calculator</x:v>
      </x:c>
      <x:c r="E29" s="30" t="str">
        <x:v>Existing — review/restructure</x:v>
      </x:c>
      <x:c r="F29" s="30" t="str">
        <x:v>Support or existing utility</x:v>
      </x:c>
      <x:c r="G29" s="30" t="str">
        <x:v>Format / links / references / visual audit</x:v>
      </x:c>
      <x:c r="H29" s="31" t="str">
        <x:v>Existing asset not named in the frozen utility list; retain as legacy utility pending owner placement decision.</x:v>
      </x:c>
    </x:row>
    <x:row r="30" ht="36" customHeight="1">
      <x:c r="A30" s="50" t="str">
        <x:v>pressure-conversion.html</x:v>
      </x:c>
      <x:c r="B30" s="30" t="str">
        <x:v>Unit converter</x:v>
      </x:c>
      <x:c r="C30" s="30" t="str">
        <x:v>ICH-UTL-016</x:v>
      </x:c>
      <x:c r="D30" s="30" t="str">
        <x:v>Pressure Conversion Calculator</x:v>
      </x:c>
      <x:c r="E30" s="30" t="str">
        <x:v>Existing — review/restructure</x:v>
      </x:c>
      <x:c r="F30" s="30" t="str">
        <x:v>Support or existing utility</x:v>
      </x:c>
      <x:c r="G30" s="30" t="str">
        <x:v>Format / links / references / visual audit</x:v>
      </x:c>
      <x:c r="H30" s="31" t="str">
        <x:v>Frozen sitemap: existing only — no new calculator or converter scope.</x:v>
      </x:c>
    </x:row>
    <x:row r="31" ht="36" customHeight="1">
      <x:c r="A31" s="50" t="str">
        <x:v>pressure-vessel-design-basics.html</x:v>
      </x:c>
      <x:c r="B31" s="30" t="str">
        <x:v>Engineering knowledge page</x:v>
      </x:c>
      <x:c r="C31" s="30" t="str">
        <x:v>ICH-ENG-033</x:v>
      </x:c>
      <x:c r="D31" s="30" t="str">
        <x:v>Pressure Vessel Design Basics</x:v>
      </x:c>
      <x:c r="E31" s="30" t="str">
        <x:v>Existing — review/restructure</x:v>
      </x:c>
      <x:c r="F31" s="30" t="str">
        <x:v>Mapped to frozen hierarchy leaf</x:v>
      </x:c>
      <x:c r="G31" s="30" t="str">
        <x:v>Format / links / references / visual audit</x:v>
      </x:c>
      <x:c r="H31" s="31" t="str">
        <x:v>Existing page requires format, links, references and visual audit.</x:v>
      </x:c>
    </x:row>
    <x:row r="32" ht="36" customHeight="1">
      <x:c r="A32" s="50" t="str">
        <x:v>privacy.html</x:v>
      </x:c>
      <x:c r="B32" s="30" t="str">
        <x:v>Utility or support page</x:v>
      </x:c>
      <x:c r="C32" s="30" t="str">
        <x:v>ICH-SUP-005</x:v>
      </x:c>
      <x:c r="D32" s="30" t="str">
        <x:v>Privacy Policy</x:v>
      </x:c>
      <x:c r="E32" s="30" t="str">
        <x:v>Existing — review/restructure</x:v>
      </x:c>
      <x:c r="F32" s="30" t="str">
        <x:v>Support or existing utility</x:v>
      </x:c>
      <x:c r="G32" s="30" t="str">
        <x:v>Format / links / references / visual audit</x:v>
      </x:c>
      <x:c r="H32" s="31" t="str">
        <x:v>Site policy/support asset; not part of the frozen engineering content hierarchy.</x:v>
      </x:c>
    </x:row>
    <x:row r="33" ht="36" customHeight="1">
      <x:c r="A33" s="50" t="str">
        <x:v>pump-power-basics.html</x:v>
      </x:c>
      <x:c r="B33" s="30" t="str">
        <x:v>Engineering knowledge page</x:v>
      </x:c>
      <x:c r="C33" s="30" t="str">
        <x:v>ICH-ENG-015</x:v>
      </x:c>
      <x:c r="D33" s="30" t="str">
        <x:v>Pump Power and Motor Selection Basics</x:v>
      </x:c>
      <x:c r="E33" s="30" t="str">
        <x:v>Existing — review/restructure</x:v>
      </x:c>
      <x:c r="F33" s="30" t="str">
        <x:v>Mapped to frozen hierarchy leaf</x:v>
      </x:c>
      <x:c r="G33" s="30" t="str">
        <x:v>Format / links / references / visual audit</x:v>
      </x:c>
      <x:c r="H33" s="31" t="str">
        <x:v>Existing page requires format, links, references and visual audit.</x:v>
      </x:c>
    </x:row>
    <x:row r="34" ht="36" customHeight="1">
      <x:c r="A34" s="50" t="str">
        <x:v>pump-power-calculator.html</x:v>
      </x:c>
      <x:c r="B34" s="30" t="str">
        <x:v>Engineering calculator</x:v>
      </x:c>
      <x:c r="C34" s="30" t="str">
        <x:v>ICH-UTL-009</x:v>
      </x:c>
      <x:c r="D34" s="30" t="str">
        <x:v>Pump Motor Selection Calculator</x:v>
      </x:c>
      <x:c r="E34" s="30" t="str">
        <x:v>Existing — review/restructure</x:v>
      </x:c>
      <x:c r="F34" s="30" t="str">
        <x:v>Support or existing utility</x:v>
      </x:c>
      <x:c r="G34" s="30" t="str">
        <x:v>Format / links / references / visual audit</x:v>
      </x:c>
      <x:c r="H34" s="31" t="str">
        <x:v>Frozen sitemap: existing only — no new calculator or converter scope.</x:v>
      </x:c>
    </x:row>
    <x:row r="35" ht="36" customHeight="1">
      <x:c r="A35" s="50" t="str">
        <x:v>reynolds-number-explained.html</x:v>
      </x:c>
      <x:c r="B35" s="30" t="str">
        <x:v>Engineering knowledge page</x:v>
      </x:c>
      <x:c r="C35" s="30" t="str">
        <x:v>ICH-ENG-005</x:v>
      </x:c>
      <x:c r="D35" s="30" t="str">
        <x:v>Reynolds Number: Laminar and Turbulent Flow</x:v>
      </x:c>
      <x:c r="E35" s="30" t="str">
        <x:v>Existing — review/restructure</x:v>
      </x:c>
      <x:c r="F35" s="30" t="str">
        <x:v>Mapped to frozen hierarchy leaf</x:v>
      </x:c>
      <x:c r="G35" s="30" t="str">
        <x:v>Format / links / references / visual audit</x:v>
      </x:c>
      <x:c r="H35" s="31" t="str">
        <x:v>Existing page requires format, links, references and visual audit.</x:v>
      </x:c>
    </x:row>
    <x:row r="36" ht="36" customHeight="1">
      <x:c r="A36" s="50" t="str">
        <x:v>silo-bunker-sizing.html</x:v>
      </x:c>
      <x:c r="B36" s="30" t="str">
        <x:v>Engineering calculator</x:v>
      </x:c>
      <x:c r="C36" s="30" t="str">
        <x:v>ICH-UTL-010</x:v>
      </x:c>
      <x:c r="D36" s="30" t="str">
        <x:v>Silo and Bunker Sizing Calculator</x:v>
      </x:c>
      <x:c r="E36" s="30" t="str">
        <x:v>Existing — review/restructure</x:v>
      </x:c>
      <x:c r="F36" s="30" t="str">
        <x:v>Support or existing utility</x:v>
      </x:c>
      <x:c r="G36" s="30" t="str">
        <x:v>Format / links / references / visual audit</x:v>
      </x:c>
      <x:c r="H36" s="31" t="str">
        <x:v>Frozen sitemap: existing only — no new calculator or converter scope.</x:v>
      </x:c>
    </x:row>
    <x:row r="37" ht="36" customHeight="1">
      <x:c r="A37" s="50" t="str">
        <x:v>temperature-conversion.html</x:v>
      </x:c>
      <x:c r="B37" s="30" t="str">
        <x:v>Unit converter</x:v>
      </x:c>
      <x:c r="C37" s="30" t="str">
        <x:v>ICH-UTL-017</x:v>
      </x:c>
      <x:c r="D37" s="30" t="str">
        <x:v>Temperature Conversion Calculator</x:v>
      </x:c>
      <x:c r="E37" s="30" t="str">
        <x:v>Existing — review/restructure</x:v>
      </x:c>
      <x:c r="F37" s="30" t="str">
        <x:v>Support or existing utility</x:v>
      </x:c>
      <x:c r="G37" s="30" t="str">
        <x:v>Format / links / references / visual audit</x:v>
      </x:c>
      <x:c r="H37" s="31" t="str">
        <x:v>Frozen sitemap: existing only — no new calculator or converter scope.</x:v>
      </x:c>
    </x:row>
    <x:row r="38" ht="36" customHeight="1">
      <x:c r="A38" s="50" t="str">
        <x:v>terms.html</x:v>
      </x:c>
      <x:c r="B38" s="30" t="str">
        <x:v>Utility or support page</x:v>
      </x:c>
      <x:c r="C38" s="30" t="str">
        <x:v>ICH-SUP-004</x:v>
      </x:c>
      <x:c r="D38" s="30" t="str">
        <x:v>Terms of Use</x:v>
      </x:c>
      <x:c r="E38" s="30" t="str">
        <x:v>Existing — review/restructure</x:v>
      </x:c>
      <x:c r="F38" s="30" t="str">
        <x:v>Support or existing utility</x:v>
      </x:c>
      <x:c r="G38" s="30" t="str">
        <x:v>Format / links / references / visual audit</x:v>
      </x:c>
      <x:c r="H38" s="31" t="str">
        <x:v>Site policy/support asset; not part of the frozen engineering content hierarchy.</x:v>
      </x:c>
    </x:row>
    <x:row r="39" ht="36" customHeight="1">
      <x:c r="A39" s="50" t="str">
        <x:v>thermal-expansion-explained.html</x:v>
      </x:c>
      <x:c r="B39" s="30" t="str">
        <x:v>Engineering knowledge page</x:v>
      </x:c>
      <x:c r="C39" s="30" t="str">
        <x:v>ICH-ENG-023</x:v>
      </x:c>
      <x:c r="D39" s="30" t="str">
        <x:v>Thermal Expansion of Solids and Piping</x:v>
      </x:c>
      <x:c r="E39" s="30" t="str">
        <x:v>Existing — review/restructure</x:v>
      </x:c>
      <x:c r="F39" s="30" t="str">
        <x:v>Mapped to frozen hierarchy leaf</x:v>
      </x:c>
      <x:c r="G39" s="30" t="str">
        <x:v>Format / links / references / visual audit</x:v>
      </x:c>
      <x:c r="H39" s="31" t="str">
        <x:v>Existing page requires format, links, references and visual audit.</x:v>
      </x:c>
    </x:row>
    <x:row r="40" ht="36" customHeight="1">
      <x:c r="A40" s="50" t="str">
        <x:v>thermal-expansion.html</x:v>
      </x:c>
      <x:c r="B40" s="30" t="str">
        <x:v>Engineering calculator</x:v>
      </x:c>
      <x:c r="C40" s="30" t="str">
        <x:v>ICH-UTL-011</x:v>
      </x:c>
      <x:c r="D40" s="30" t="str">
        <x:v>Thermal Expansion Calculator</x:v>
      </x:c>
      <x:c r="E40" s="30" t="str">
        <x:v>Existing — review/restructure</x:v>
      </x:c>
      <x:c r="F40" s="30" t="str">
        <x:v>Support or existing utility</x:v>
      </x:c>
      <x:c r="G40" s="30" t="str">
        <x:v>Format / links / references / visual audit</x:v>
      </x:c>
      <x:c r="H40" s="31" t="str">
        <x:v>Frozen sitemap: existing only — no new calculator or converter scope.</x:v>
      </x:c>
    </x:row>
    <x:row r="41" ht="36" customHeight="1">
      <x:c r="A41" s="50" t="str">
        <x:v>unit-conversion-explained.html</x:v>
      </x:c>
      <x:c r="B41" s="30" t="str">
        <x:v>Utility or support page</x:v>
      </x:c>
      <x:c r="C41" s="30" t="str">
        <x:v>ICH-UTL-001</x:v>
      </x:c>
      <x:c r="D41" s="30" t="str">
        <x:v>Unit Conversion Explained</x:v>
      </x:c>
      <x:c r="E41" s="30" t="str">
        <x:v>Existing — review/restructure</x:v>
      </x:c>
      <x:c r="F41" s="30" t="str">
        <x:v>Registered legacy — not in frozen hierarchy</x:v>
      </x:c>
      <x:c r="G41" s="30" t="str">
        <x:v>Format / links / references / visual audit</x:v>
      </x:c>
      <x:c r="H41" s="31" t="str">
        <x:v>Registered for audit only. This record does not add the asset to the sitemap; retain, relocate or retire only with owner approval.</x:v>
      </x:c>
    </x:row>
    <x:row r="42" ht="36" customHeight="1">
      <x:c r="A42" s="50" t="str">
        <x:v>volume-conversion.html</x:v>
      </x:c>
      <x:c r="B42" s="30" t="str">
        <x:v>Unit converter</x:v>
      </x:c>
      <x:c r="C42" s="30" t="str">
        <x:v>ICH-UTL-018</x:v>
      </x:c>
      <x:c r="D42" s="30" t="str">
        <x:v>Volume Conversion Calculator</x:v>
      </x:c>
      <x:c r="E42" s="30" t="str">
        <x:v>Existing — review/restructure</x:v>
      </x:c>
      <x:c r="F42" s="30" t="str">
        <x:v>Support or existing utility</x:v>
      </x:c>
      <x:c r="G42" s="30" t="str">
        <x:v>Format / links / references / visual audit</x:v>
      </x:c>
      <x:c r="H42" s="31" t="str">
        <x:v>Frozen sitemap: existing only — no new calculator or converter scope.</x:v>
      </x:c>
    </x:row>
    <x:row r="43" ht="36" customHeight="1">
      <x:c r="A43" s="51" t="str">
        <x:v>weight-conversion.html</x:v>
      </x:c>
      <x:c r="B43" s="33" t="str">
        <x:v>Unit converter</x:v>
      </x:c>
      <x:c r="C43" s="33" t="str">
        <x:v>ICH-UTL-019</x:v>
      </x:c>
      <x:c r="D43" s="33" t="str">
        <x:v>Weight Conversion Calculator</x:v>
      </x:c>
      <x:c r="E43" s="33" t="str">
        <x:v>Existing — review/restructure</x:v>
      </x:c>
      <x:c r="F43" s="33" t="str">
        <x:v>Support or existing utility</x:v>
      </x:c>
      <x:c r="G43" s="33" t="str">
        <x:v>Format / links / references / visual audit</x:v>
      </x:c>
      <x:c r="H43" s="34" t="str">
        <x:v>Frozen sitemap: existing only — no new calculator or converter scope.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e42321588e94a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7" hidden="0" customWidth="1"/>
    <x:col min="4" max="4" width="24" hidden="0" customWidth="1"/>
    <x:col min="5" max="5" width="31" hidden="0" customWidth="1"/>
    <x:col min="6" max="6" width="33" hidden="0" customWidth="1"/>
  </x:cols>
  <x:sheetData>
    <x:row r="1" ht="30" customHeight="1">
      <x:c r="A1" s="4" t="str">
        <x:v>Controlled Lists</x:v>
      </x:c>
    </x:row>
    <x:row r="2" ht="34" customHeight="1">
      <x:c r="A2" s="8" t="str">
        <x:v>Editable control values for the draft register. Update values only through an approved governance decision.</x:v>
      </x:c>
    </x:row>
    <x:row r="4" ht="34" customHeight="1">
      <x:c r="A4" s="14" t="str">
        <x:v>Content State</x:v>
      </x:c>
      <x:c r="B4" s="14" t="str">
        <x:v>Technical Review</x:v>
      </x:c>
      <x:c r="C4" s="14" t="str">
        <x:v>Publication Gate</x:v>
      </x:c>
      <x:c r="D4" s="14" t="str">
        <x:v>Record Kind</x:v>
      </x:c>
      <x:c r="E4" s="14" t="str">
        <x:v>Page Type</x:v>
      </x:c>
      <x:c r="F4" s="14" t="str">
        <x:v>Register Authority</x:v>
      </x:c>
    </x:row>
    <x:row r="5">
      <x:c r="A5" s="26" t="str">
        <x:v>Planned — not started</x:v>
      </x:c>
      <x:c r="B5" s="27" t="str">
        <x:v>Not started</x:v>
      </x:c>
      <x:c r="C5" s="27" t="str">
        <x:v>Not published</x:v>
      </x:c>
      <x:c r="D5" s="27" t="str">
        <x:v>Landing page</x:v>
      </x:c>
      <x:c r="E5" s="27" t="str">
        <x:v>Engineering knowledge page</x:v>
      </x:c>
      <x:c r="F5" s="28" t="str">
        <x:v>Owner approval required</x:v>
      </x:c>
    </x:row>
    <x:row r="6">
      <x:c r="A6" s="29" t="str">
        <x:v>Drafting</x:v>
      </x:c>
      <x:c r="B6" s="30" t="str">
        <x:v>In technical review</x:v>
      </x:c>
      <x:c r="C6" s="30" t="str">
        <x:v>Draft — not published</x:v>
      </x:c>
      <x:c r="D6" s="30" t="str">
        <x:v>Domain landing page</x:v>
      </x:c>
      <x:c r="E6" s="30" t="str">
        <x:v>Industrial equipment page</x:v>
      </x:c>
      <x:c r="F6" s="31" t="str">
        <x:v>Frozen sitemap governs scope</x:v>
      </x:c>
    </x:row>
    <x:row r="7">
      <x:c r="A7" s="29" t="str">
        <x:v>Existing — review/restructure</x:v>
      </x:c>
      <x:c r="B7" s="30" t="str">
        <x:v>Technical review complete</x:v>
      </x:c>
      <x:c r="C7" s="30" t="str">
        <x:v>Approved for publication</x:v>
      </x:c>
      <x:c r="D7" s="30" t="str">
        <x:v>Knowledge/data page</x:v>
      </x:c>
      <x:c r="E7" s="30" t="str">
        <x:v>Industrial process page</x:v>
      </x:c>
      <x:c r="F7" s="31" t="str">
        <x:v>Frozen page-format governs template</x:v>
      </x:c>
    </x:row>
    <x:row r="8">
      <x:c r="A8" s="29" t="str">
        <x:v>Published</x:v>
      </x:c>
      <x:c r="B8" s="30" t="str">
        <x:v>Reference review complete</x:v>
      </x:c>
      <x:c r="C8" s="30" t="str">
        <x:v>Existing — review/restructure</x:v>
      </x:c>
      <x:c r="D8" s="30" t="str">
        <x:v>Existing utility</x:v>
      </x:c>
      <x:c r="E8" s="30" t="str">
        <x:v>Reference data page</x:v>
      </x:c>
      <x:c r="F8" s="31" t="str">
        <x:v>URL standard pending</x:v>
      </x:c>
    </x:row>
    <x:row r="9">
      <x:c r="A9" s="29" t="str">
        <x:v>On hold</x:v>
      </x:c>
      <x:c r="B9" s="30" t="str">
        <x:v>Review blocked</x:v>
      </x:c>
      <x:c r="C9" s="30" t="str">
        <x:v>Retired</x:v>
      </x:c>
      <x:c r="D9" s="30" t="str">
        <x:v>Support page</x:v>
      </x:c>
      <x:c r="E9" s="30" t="str">
        <x:v>Engineering calculator</x:v>
      </x:c>
      <x:c r="F9" s="31" t="str">
        <x:v>Fundamental textbooks only</x:v>
      </x:c>
    </x:row>
    <x:row r="10">
      <x:c r="A10" s="32" t="str"/>
      <x:c r="B10" s="33" t="str"/>
      <x:c r="C10" s="33" t="str"/>
      <x:c r="D10" s="33" t="str"/>
      <x:c r="E10" s="33" t="str">
        <x:v>Unit converter</x:v>
      </x:c>
      <x:c r="F10" s="3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62" hidden="0" customWidth="1"/>
    <x:col min="5" max="5" width="34" hidden="0" customWidth="1"/>
    <x:col min="6" max="6" width="26" hidden="0" customWidth="1"/>
    <x:col min="7" max="7" width="18" hidden="0" customWidth="1"/>
    <x:col min="8" max="8" width="72" hidden="0" customWidth="1"/>
  </x:cols>
  <x:sheetData>
    <x:row r="1" ht="30" customHeight="1">
      <x:c r="A1" s="4" t="str">
        <x:v>Change Log</x:v>
      </x:c>
    </x:row>
    <x:row r="2" ht="34" customHeight="1">
      <x:c r="A2" s="8" t="str">
        <x:v>Use this sheet to record only approved decisions. This initial entry creates the draft register; it does not freeze it.</x:v>
      </x:c>
    </x:row>
    <x:row r="4" ht="34" customHeight="1">
      <x:c r="A4" s="14" t="str">
        <x:v>Date</x:v>
      </x:c>
      <x:c r="B4" s="14" t="str">
        <x:v>Version</x:v>
      </x:c>
      <x:c r="C4" s="14" t="str">
        <x:v>Change Type</x:v>
      </x:c>
      <x:c r="D4" s="14" t="str">
        <x:v>Decision / Change</x:v>
      </x:c>
      <x:c r="E4" s="14" t="str">
        <x:v>Affected Scope</x:v>
      </x:c>
      <x:c r="F4" s="14" t="str">
        <x:v>Authority</x:v>
      </x:c>
      <x:c r="G4" s="14" t="str">
        <x:v>Status</x:v>
      </x:c>
      <x:c r="H4" s="14" t="str">
        <x:v>Notes</x:v>
      </x:c>
    </x:row>
    <x:row r="5" ht="44" customHeight="1">
      <x:c r="A5" s="98" t="n">
        <x:v>46257.5</x:v>
      </x:c>
      <x:c r="B5" s="99" t="str">
        <x:v>Draft 1</x:v>
      </x:c>
      <x:c r="C5" s="99" t="str">
        <x:v>Register created</x:v>
      </x:c>
      <x:c r="D5" s="99" t="str">
        <x:v>Created Master Page Register from the frozen site hierarchy and observed existing files.</x:v>
      </x:c>
      <x:c r="E5" s="99" t="str">
        <x:v>Site-wide control inventory</x:v>
      </x:c>
      <x:c r="F5" s="99" t="str">
        <x:v>Owner approval pending</x:v>
      </x:c>
      <x:c r="G5" s="99" t="str">
        <x:v>Draft</x:v>
      </x:c>
      <x:c r="H5" s="100" t="str">
        <x:v>No frozen sitemap, hierarchy, page-format standard, production HTML, or production CSS was changed.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b83cb2f8531480f"/>
  </x:tableParts>
</x:worksheet>
</file>